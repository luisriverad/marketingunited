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6.xml"/>
  <Override ContentType="application/vnd.openxmlformats-officedocument.spreadsheetml.externalLink+xml" PartName="/xl/externalLinks/externalLink5.xml"/>
  <Override ContentType="application/vnd.openxmlformats-officedocument.spreadsheetml.externalLink+xml" PartName="/xl/externalLinks/externalLink4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Resumen" sheetId="1" r:id="rId4"/>
    <sheet state="visible" name="MKT UNITED 26" sheetId="2" r:id="rId5"/>
    <sheet state="hidden" name="Mkt United + Troader 26" sheetId="3" r:id="rId6"/>
    <sheet state="hidden" name="Staff 26" sheetId="4" r:id="rId7"/>
    <sheet state="hidden" name="Ventas 26" sheetId="5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xxxxxxx">#REF!</definedName>
    <definedName name="qzqzqz30">#REF!</definedName>
    <definedName name="SSSSSSSSSSSSSS">#REF!</definedName>
    <definedName name="csSB_VISTA_LIBRE_Dim09">#REF!</definedName>
    <definedName name="corte">#REF!</definedName>
    <definedName name="_62_0Bcer">#REF!</definedName>
    <definedName name="__5_0Boro">#REF!</definedName>
    <definedName name="Total_Occidente">#REF!</definedName>
    <definedName name="_25">#REF!</definedName>
    <definedName name="_16___0Cons">#REF!</definedName>
    <definedName name="Merc">#REF!</definedName>
    <definedName name="TEST0">#REF!</definedName>
    <definedName name="anex">#REF!</definedName>
    <definedName name="_3_0Bcer">#REF!</definedName>
    <definedName name="FLUJO">#REF!</definedName>
    <definedName name="csBA_REP_MD_EDOSFINAnchor">#REF!</definedName>
    <definedName name="PEDESTALESB">#REF!</definedName>
    <definedName name="_SM8">#REF!</definedName>
    <definedName name="csSB_EDO_RES_PDCT_COLOC_2_Dim08">#REF!</definedName>
    <definedName name="csSB_VISTA_LIBRE_Dim04">#REF!</definedName>
    <definedName name="sdsd">#REF!</definedName>
    <definedName name="CUBES_X_DIMS">#REF!</definedName>
    <definedName name="SALUDO">#REF!</definedName>
    <definedName name="TOT">#REF!</definedName>
    <definedName name="VENTADEBREMS">#REF!</definedName>
    <definedName name="__8_0Boro">#REF!</definedName>
    <definedName name="Panama">#REF!</definedName>
    <definedName name="csSB_EDO_RES_PDCT_COLOC_2_Dim09">#REF!</definedName>
    <definedName name="_15_0Cafo">#REF!</definedName>
    <definedName name="TIENDASBR">#REF!</definedName>
    <definedName name="data33">#REF!</definedName>
    <definedName name="data65">#REF!</definedName>
    <definedName name="aan">#REF!</definedName>
    <definedName name="_DAT6">#REF!</definedName>
    <definedName name="AÑO94">#REF!</definedName>
    <definedName name="TIJUANA">#REF!</definedName>
    <definedName name="Ventas_nales._por_cte.3">#REF!</definedName>
    <definedName name="C_exportar_a_Excel">#REF!</definedName>
    <definedName name="_713_0Cons">#REF!</definedName>
    <definedName name="csSB_EDO_RES_PDCT_COMIS_2_Dim09">#REF!</definedName>
    <definedName name="MmExcelLinker_10E3A3B8_7658_4DCF_BA7C_F7F634B86C5F">#REF!</definedName>
    <definedName name="OTROSPRODTOS">#REF!</definedName>
    <definedName name="xxxxxxxxxx">#REF!</definedName>
    <definedName name="JUNIO">#REF!</definedName>
    <definedName name="AÑO84">#REF!</definedName>
    <definedName name="capita_lde_trabajo">#REF!</definedName>
    <definedName name="RESU2">#REF!</definedName>
    <definedName name="__1_0Bcer">#REF!</definedName>
    <definedName name="_128_0Cafo">#REF!</definedName>
    <definedName name="CANALTHEONE">#REF!</definedName>
    <definedName name="PCREDITOS">#REF!</definedName>
    <definedName name="_130_0Cafo">#REF!</definedName>
    <definedName name="_7">#REF!</definedName>
    <definedName name="Eigenvectores">#REF!</definedName>
    <definedName name="_712_0Cons">#REF!</definedName>
    <definedName name="FECH">#REF!</definedName>
    <definedName name="Ajuste3">#REF!</definedName>
    <definedName name="_195_0Bcer">#REF!</definedName>
    <definedName name="Resumen_Dlls1">#REF!</definedName>
    <definedName name="data19">#REF!</definedName>
    <definedName name="TEST20">#REF!</definedName>
    <definedName name="_59_0Cafo">#REF!</definedName>
    <definedName name="csSB_VISTA_LIBRE_PDCT_2_Dim04">#REF!</definedName>
    <definedName name="__16Boro">#REF!</definedName>
    <definedName name="RELPAGPROV">#REF!</definedName>
    <definedName name="VIEJASTO">#REF!</definedName>
    <definedName name="AÑO91">#REF!</definedName>
    <definedName name="C_">#REF!</definedName>
    <definedName name="csSB_VISTA_LIBRE_FORM_2_Dim08">#REF!</definedName>
    <definedName name="AÑO89">#REF!</definedName>
    <definedName name="data43">#REF!</definedName>
    <definedName name="GUN">#REF!</definedName>
    <definedName name="imp">#REF!</definedName>
    <definedName name="THEONE">#REF!</definedName>
    <definedName name="csSB_EDO_RES_PDCT_CAPTA_2_Dim07">#REF!</definedName>
    <definedName name="_18___0Cafo">#REF!</definedName>
    <definedName name="_2___0Bcer">#REF!</definedName>
    <definedName name="VENTAS2008A">#REF!</definedName>
    <definedName name="_DAT4">#REF!</definedName>
    <definedName name="Salvador">#REF!</definedName>
    <definedName name="qzqzqz25">#REF!</definedName>
    <definedName name="Compensacion">#REF!</definedName>
    <definedName name="Reporte2">#REF!</definedName>
    <definedName name="wqwe">#REF!</definedName>
    <definedName name="ik">#REF!</definedName>
    <definedName name="mov_credito_TOTAL">#REF!</definedName>
    <definedName name="NORTE">#REF!</definedName>
    <definedName name="_323_0Boro">#REF!</definedName>
    <definedName name="TipoPago">#REF!</definedName>
    <definedName name="data18">#REF!</definedName>
    <definedName name="DatosVtas">#REF!</definedName>
    <definedName name="SERVICORP">#REF!</definedName>
    <definedName name="PRECIO_P20">#REF!</definedName>
    <definedName name="_15">#REF!</definedName>
    <definedName name="MmExcelLinker_82A5E8F9_AA17_4E3E_B8D3_140F7478E720">#REF!</definedName>
    <definedName name="_Key2">#REF!</definedName>
    <definedName name="_9___0Boro">#REF!</definedName>
    <definedName name="cqc">#REF!</definedName>
    <definedName name="_14Bcer">#REF!</definedName>
    <definedName name="_13_0Cons">#REF!</definedName>
    <definedName name="INNOVA">#REF!</definedName>
    <definedName name="Área_de_muestra_2">#REF!</definedName>
    <definedName name="PRECIO_IF101">#REF!</definedName>
    <definedName name="E_S_T_A_D_O__D_E__R_E_S_U_L_T_A_D_O_S">#REF!</definedName>
    <definedName name="formato3">#REF!</definedName>
    <definedName name="TEST11">#REF!</definedName>
    <definedName name="csSB_EDO_RES_FORM_2_Dim07">#REF!</definedName>
    <definedName name="CUFMar97Feb98">#REF!</definedName>
    <definedName name="_193_0Bcer">#REF!</definedName>
    <definedName name="Vector">#REF!</definedName>
    <definedName name="Periodos">#REF!</definedName>
    <definedName name="_1">#REF!</definedName>
    <definedName name="AÑO92">#REF!</definedName>
    <definedName name="CONCENTRADORAS">#REF!</definedName>
    <definedName name="data32">#REF!</definedName>
    <definedName name="_300_0Cons">#REF!</definedName>
    <definedName name="base3">#REF!</definedName>
    <definedName name="data59">#REF!</definedName>
    <definedName name="SALDO">#REF!</definedName>
    <definedName name="IMPORTE_T">#REF!</definedName>
    <definedName name="QT">#REF!</definedName>
    <definedName name="PRUEBA_1">#REF!</definedName>
    <definedName name="importe_e">#REF!</definedName>
    <definedName name="AÑO98">#REF!</definedName>
    <definedName name="Peru">#REF!</definedName>
    <definedName name="TA">#REF!</definedName>
    <definedName name="_129_0Cafo">#REF!</definedName>
    <definedName name="_10___0Cafo">#REF!</definedName>
    <definedName name="data3">#REF!</definedName>
    <definedName name="MedioPago">#REF!</definedName>
    <definedName name="_DAT7">#REF!</definedName>
    <definedName name="_15Bcer">#REF!</definedName>
    <definedName name="qzqzqz8">#REF!</definedName>
    <definedName name="Semanas">#REF!</definedName>
    <definedName name="RCC">#REF!</definedName>
    <definedName name="_DAT14">#REF!</definedName>
    <definedName name="PRECIO_PPH">#REF!</definedName>
    <definedName name="AÑO85">#REF!</definedName>
    <definedName name="_390_0Boro">#REF!</definedName>
    <definedName name="data48">#REF!</definedName>
    <definedName name="P_VIATICOS">#REF!</definedName>
    <definedName name="PRECIO_P60">#REF!</definedName>
    <definedName name="_Key1">#REF!</definedName>
    <definedName name="Pasivos">#REF!</definedName>
    <definedName name="ponderaciones">#REF!</definedName>
    <definedName name="_258_0Bcer">#REF!</definedName>
    <definedName name="data25">#REF!</definedName>
    <definedName name="SINIESTROS2">#REF!</definedName>
    <definedName name="_14___0Cons">#REF!</definedName>
    <definedName name="CONS_VS_PRES">#REF!</definedName>
    <definedName name="_257_0Bcer">#REF!</definedName>
    <definedName name="Perú2014">#REF!</definedName>
    <definedName name="csSB_EDO_RES_PDCT_CAPTA_2_Dim08">#REF!</definedName>
    <definedName name="Ventas_nales._por_cte.1">#REF!</definedName>
    <definedName name="asdf">#REF!</definedName>
    <definedName name="_387_0Boro">#REF!</definedName>
    <definedName name="ANIRDIV">#REF!</definedName>
    <definedName name="_58_0Cafo">#REF!</definedName>
    <definedName name="Consol">#REF!</definedName>
    <definedName name="resultado">#REF!</definedName>
    <definedName name="csGLOBAL_REP_LIBRE_GLOBAL_Dim10">#REF!</definedName>
    <definedName name="__3_0Bcer">#REF!</definedName>
    <definedName name="BD">#REF!</definedName>
    <definedName name="precio_ppl">#REF!</definedName>
    <definedName name="try">#REF!</definedName>
    <definedName name="so">#REF!</definedName>
    <definedName name="CANALBR">#REF!</definedName>
    <definedName name="_SM6">#REF!</definedName>
    <definedName name="Ventas_exp._por_cte._dls3">#REF!</definedName>
    <definedName name="CECOs">#REF!</definedName>
    <definedName name="GASTOSMOV">#REF!</definedName>
    <definedName name="_150_0Boro">#REF!</definedName>
    <definedName name="DatosPromTrim">#REF!</definedName>
    <definedName name="ivass">#REF!</definedName>
    <definedName name="concentradoras_anterior">#REF!</definedName>
    <definedName name="PRECIO_P15">#REF!</definedName>
    <definedName name="SER4TSC7">#REF!</definedName>
    <definedName name="AÑO80">#REF!</definedName>
    <definedName name="_12_0Cons">#REF!</definedName>
    <definedName name="CAPTACIONUSD">#REF!</definedName>
    <definedName name="_7_0Bcer">#REF!</definedName>
    <definedName name="csSB_VISTA_LIBRE_MENSUAL_Dim16">#REF!</definedName>
    <definedName name="ATTRIBUTE_DEFS">#REF!</definedName>
    <definedName name="csSB_VISTA_LIBRE_Dim07">#REF!</definedName>
    <definedName name="LINE">#REF!</definedName>
    <definedName name="PRECIO_P35">#REF!</definedName>
    <definedName name="_585_0Cafo">#REF!</definedName>
    <definedName name="data63">#REF!</definedName>
    <definedName name="EE">#REF!</definedName>
    <definedName name="base1">#REF!</definedName>
    <definedName name="data56">#REF!</definedName>
    <definedName name="_330_0Cons">#REF!</definedName>
    <definedName name="PASIVO">#REF!</definedName>
    <definedName name="TESTKEYS">#REF!</definedName>
    <definedName name="Cargos_diferidos3">#REF!</definedName>
    <definedName name="BANCRECER">#REF!</definedName>
    <definedName name="COEFIC_UTILI94">#REF!</definedName>
    <definedName name="TEST4">#REF!</definedName>
    <definedName name="csSB_EDO_RES_GEO_CENTRAL_2_Dim06">#REF!</definedName>
    <definedName name="TRAVESAÑOSB">#REF!</definedName>
    <definedName name="TEST14">#REF!</definedName>
    <definedName name="data20">#REF!</definedName>
    <definedName name="Result_No_Cotiz">#REF!</definedName>
    <definedName name="ccorigen">#REF!</definedName>
    <definedName name="Cafo_S1">#REF!</definedName>
    <definedName name="AÑO90">#REF!</definedName>
    <definedName name="ll">#REF!</definedName>
    <definedName name="CostosProducción">#REF!</definedName>
    <definedName name="saldo_credito_anterior">#REF!</definedName>
    <definedName name="FACTOR">#REF!</definedName>
    <definedName name="da">#REF!</definedName>
    <definedName name="hol">#REF!</definedName>
    <definedName name="th">#REF!</definedName>
    <definedName name="tiie">#REF!</definedName>
    <definedName name="csSB_VISTA_LIBRE_MENSUAL_Dim15">#REF!</definedName>
    <definedName name="DatosSem">#REF!</definedName>
    <definedName name="AÑO82">#REF!</definedName>
    <definedName name="qsdwfdv">#REF!</definedName>
    <definedName name="msem">#REF!</definedName>
    <definedName name="PAGOS_PROV.">#REF!</definedName>
    <definedName name="Pedro">#REF!</definedName>
    <definedName name="Boro_S2">#REF!</definedName>
    <definedName name="condiciones_pago">#REF!</definedName>
    <definedName name="AJAJAJAAAA">#REF!</definedName>
    <definedName name="__tax3">#REF!</definedName>
    <definedName name="_20">#REF!</definedName>
    <definedName name="_20Cafo">#REF!</definedName>
    <definedName name="_8___0Boro">#REF!</definedName>
    <definedName name="Cambiodeestructurapara">#REF!</definedName>
    <definedName name="dflt5">#REF!</definedName>
    <definedName name="formato6">#REF!</definedName>
    <definedName name="Cargos_diferidos2">#REF!</definedName>
    <definedName name="_90_0Bcer">#REF!</definedName>
    <definedName name="P.P.ISR">#REF!</definedName>
    <definedName name="CODIGO_POSTAL">#REF!</definedName>
    <definedName name="UTILIDAD">#REF!</definedName>
    <definedName name="VFechas">#REF!</definedName>
    <definedName name="_9_0Boro">#REF!</definedName>
    <definedName name="analisi3as">#REF!</definedName>
    <definedName name="cwi">#REF!</definedName>
    <definedName name="CxP">#REF!</definedName>
    <definedName name="CARTERADELIM050513_Consulta">#REF!</definedName>
    <definedName name="RCBI">#REF!</definedName>
    <definedName name="TABLA_PAGOS">#REF!</definedName>
    <definedName name="data39">#REF!</definedName>
    <definedName name="__12_0Cons">#REF!</definedName>
    <definedName name="_Fill">#REF!</definedName>
    <definedName name="Escalón">#REF!</definedName>
    <definedName name="CUFMaraDic.98">#REF!</definedName>
    <definedName name="ser">#REF!</definedName>
    <definedName name="PRECIO_I101">#REF!</definedName>
    <definedName name="xzxcz">#REF!</definedName>
    <definedName name="_6_0Bcer">#REF!</definedName>
    <definedName name="beta_us">#REF!</definedName>
    <definedName name="METROSUR">#REF!</definedName>
    <definedName name="ER_Elektra">#REF!</definedName>
    <definedName name="csSB_EDO_RES_PDCT_GUN_2_Dim09">#REF!</definedName>
    <definedName name="_37A">#REF!</definedName>
    <definedName name="sads">#REF!</definedName>
    <definedName name="Formato">#REF!</definedName>
    <definedName name="semcp">#REF!</definedName>
    <definedName name="csSB_EDO_RES_FORM_GUN_2_Dim06">#REF!</definedName>
    <definedName name="Información_Financiera1">#REF!</definedName>
    <definedName name="ER_The_One">#REF!</definedName>
    <definedName name="_180_0Boro">#REF!</definedName>
    <definedName name="LUGAR_T">#REF!</definedName>
    <definedName name="qzqzqz15">#REF!</definedName>
    <definedName name="_455_0Boro">#REF!</definedName>
    <definedName name="mov_credito">#REF!</definedName>
    <definedName name="_4___0Boro">#REF!</definedName>
    <definedName name="_24">#REF!</definedName>
    <definedName name="AREA_IMP_CONS">#REF!</definedName>
    <definedName name="_208_0Boro">#REF!</definedName>
    <definedName name="Perú2015">#REF!</definedName>
    <definedName name="TEST12">#REF!</definedName>
    <definedName name="_10_0Boro">#REF!</definedName>
    <definedName name="csSB_VISTA_LIBRE_SEMANAL_Dim09">#REF!</definedName>
    <definedName name="Diario">#REF!</definedName>
    <definedName name="csBA_REP_EDORES_NUEVAS_MISMAS_Dim08">#REF!</definedName>
    <definedName name="TEST9">#REF!</definedName>
    <definedName name="data31">#REF!</definedName>
    <definedName name="pumas">#REF!</definedName>
    <definedName name="ss">#REF!</definedName>
    <definedName name="vxdia">#REF!</definedName>
    <definedName name="ListadeProductos">#REF!</definedName>
    <definedName name="PANT">#REF!</definedName>
    <definedName name="bbb">#REF!</definedName>
    <definedName name="_650_0Cons">#REF!</definedName>
    <definedName name="formato5">#REF!</definedName>
    <definedName name="SSSSSSS">#REF!</definedName>
    <definedName name="PRODCTA">#REF!</definedName>
    <definedName name="TEST21">#REF!</definedName>
    <definedName name="__6_0Bcer">#REF!</definedName>
    <definedName name="_324_0Boro">#REF!</definedName>
    <definedName name="SALDO_INICIAL">#REF!</definedName>
    <definedName name="_6_0Boro">#REF!</definedName>
    <definedName name="Veracruz">#REF!</definedName>
    <definedName name="Firstrow">#REF!</definedName>
    <definedName name="LISTA">#REF!</definedName>
    <definedName name="TEST19">#REF!</definedName>
    <definedName name="data62">#REF!</definedName>
    <definedName name="csBA_REP_MD_EDOSFIN_Dim09">#REF!</definedName>
    <definedName name="__4_0Bcer">#REF!</definedName>
    <definedName name="_583_0Cafo">#REF!</definedName>
    <definedName name="Resumen_Dlls2">#REF!</definedName>
    <definedName name="Resultados_dólares1">#REF!</definedName>
    <definedName name="DB_ROLE_PERMISSIONS">#REF!</definedName>
    <definedName name="TEST8">#REF!</definedName>
    <definedName name="BALANZA">#REF!</definedName>
    <definedName name="CORPORA">#REF!</definedName>
    <definedName name="Sipres">#REF!</definedName>
    <definedName name="INV">#REF!</definedName>
    <definedName name="AAZ">#REF!</definedName>
    <definedName name="adwd">#REF!</definedName>
    <definedName name="EMPAQUES">#REF!</definedName>
    <definedName name="total_canal">#REF!</definedName>
    <definedName name="_3_0Cafo">#REF!</definedName>
    <definedName name="ANGASFAB">#REF!</definedName>
    <definedName name="y">#REF!</definedName>
    <definedName name="_194_0Bcer">#REF!</definedName>
    <definedName name="formato9">#REF!</definedName>
    <definedName name="Gtia">#REF!</definedName>
    <definedName name="qzqzqz20">#REF!</definedName>
    <definedName name="Ventas_nales._por_cte.2">#REF!</definedName>
    <definedName name="Activosnomonetarios">#REF!</definedName>
    <definedName name="csSB_VISTA_LIBRE_MENSUAL_Dim06">#REF!</definedName>
    <definedName name="qzqzqz10">#REF!</definedName>
    <definedName name="ctaflujo">#REF!</definedName>
    <definedName name="EMPAQUES2">#REF!</definedName>
    <definedName name="GRAFMENS1">#REF!</definedName>
    <definedName name="PRECIO_P50">#REF!</definedName>
    <definedName name="_209_0Boro">#REF!</definedName>
    <definedName name="RECLASIFICACIONES">#REF!</definedName>
    <definedName name="_5">#REF!</definedName>
    <definedName name="TEST2">#REF!</definedName>
    <definedName name="PERDID_FISCAL">#REF!</definedName>
    <definedName name="data67">#REF!</definedName>
    <definedName name="_148_0Boro">#REF!</definedName>
    <definedName name="data11">#REF!</definedName>
    <definedName name="AÑO86">#REF!</definedName>
    <definedName name="data69">#REF!</definedName>
    <definedName name="data28">#REF!</definedName>
    <definedName name="__11_0Cons">#REF!</definedName>
    <definedName name="Balance_Total">#REF!</definedName>
    <definedName name="INT_GAN">#REF!</definedName>
    <definedName name="xn">#REF!</definedName>
    <definedName name="AECCD">#REF!</definedName>
    <definedName name="_12___0Boro">#REF!</definedName>
    <definedName name="_298_0Cons">#REF!</definedName>
    <definedName name="_28_0Bcer">#REF!</definedName>
    <definedName name="_10">#REF!</definedName>
    <definedName name="csSB_EDO_RES_FORM_CENTRAL_2_Dim06">#REF!</definedName>
    <definedName name="_30">#REF!</definedName>
    <definedName name="AÑO83">#REF!</definedName>
    <definedName name="AÑO99">#REF!</definedName>
    <definedName name="AREA_IMO_CONS2">#REF!</definedName>
    <definedName name="base2">#REF!</definedName>
    <definedName name="CUC_REEMBOLSO">#REF!</definedName>
    <definedName name="data2">#REF!</definedName>
    <definedName name="data53">#REF!</definedName>
    <definedName name="Nómina">#REF!</definedName>
    <definedName name="FESEM">#REF!</definedName>
    <definedName name="NUEVASSYR">#REF!</definedName>
    <definedName name="TEST51">#REF!</definedName>
    <definedName name="Renglones8Col">#REF!</definedName>
    <definedName name="_32">#REF!</definedName>
    <definedName name="syu">#REF!</definedName>
    <definedName name="dflt7">#REF!</definedName>
    <definedName name="_26">#REF!</definedName>
    <definedName name="ER_BDR">#REF!</definedName>
    <definedName name="co">#REF!</definedName>
    <definedName name="csSB_VISTA_LIBRE_GEO_2_Dim04">#REF!</definedName>
    <definedName name="data47">#REF!</definedName>
    <definedName name="Ajuste2">#REF!</definedName>
    <definedName name="SUBTOTAL">#REF!</definedName>
    <definedName name="_10_0Cafo">#REF!</definedName>
    <definedName name="SP.BCODIC">#REF!</definedName>
    <definedName name="_19Cafo">#REF!</definedName>
    <definedName name="_DAT9">#REF!</definedName>
    <definedName name="Cont">#REF!</definedName>
    <definedName name="SYS_PARAMS">#REF!</definedName>
    <definedName name="Vol">#REF!</definedName>
    <definedName name="PRV">#REF!</definedName>
    <definedName name="Coeficiente">#REF!</definedName>
    <definedName name="_88_0Bcer">#REF!</definedName>
    <definedName name="consumonuevo">#REF!</definedName>
    <definedName name="tu">#REF!</definedName>
    <definedName name="__2Bcer">#REF!</definedName>
    <definedName name="_127_0Cafo">#REF!</definedName>
    <definedName name="ddkkd">#REF!</definedName>
    <definedName name="csSB_VISTA_LIBRE_MENSUAL_Dim13">#REF!</definedName>
    <definedName name="JS">#REF!</definedName>
    <definedName name="CUCA">#REF!</definedName>
    <definedName name="PagoSeguros">#REF!</definedName>
    <definedName name="__tax2">#REF!</definedName>
    <definedName name="formato11">#REF!</definedName>
    <definedName name="ER_Crédito_Consumo">#REF!</definedName>
    <definedName name="Print_Area_MI">#REF!</definedName>
    <definedName name="_11">#REF!</definedName>
    <definedName name="AUP">#REF!</definedName>
    <definedName name="Mes">#REF!</definedName>
    <definedName name="__2_0Cafo">#REF!</definedName>
    <definedName name="SAFI">#REF!</definedName>
    <definedName name="x">#REF!</definedName>
    <definedName name="P_TRANSPORTE">#REF!</definedName>
    <definedName name="MmExcelLinker_1286AF18_792B_48EB_972C_4711D8542CEB">#REF!</definedName>
    <definedName name="_582_0Cafo">#REF!</definedName>
    <definedName name="J">#REF!</definedName>
    <definedName name="REEX">#REF!</definedName>
    <definedName name="_22Cons">#REF!</definedName>
    <definedName name="MEXICO">#REF!</definedName>
    <definedName name="qwe">#REF!</definedName>
    <definedName name="__20Cafo">#REF!</definedName>
    <definedName name="CONINGDIC">#REF!</definedName>
    <definedName name="PRECIO_I">#REF!</definedName>
    <definedName name="CEDULA_DE_COSTOS">#REF!</definedName>
    <definedName name="PP_CR">#REF!</definedName>
    <definedName name="Rev">#REF!</definedName>
    <definedName name="data7">#REF!</definedName>
    <definedName name="HJHJKH">#REF!</definedName>
    <definedName name="_17Boro">#REF!</definedName>
    <definedName name="Reporte1">#REF!</definedName>
    <definedName name="data68">#REF!</definedName>
    <definedName name="SP.BCONOV">#REF!</definedName>
    <definedName name="data10">#REF!</definedName>
    <definedName name="Anexo3">#REF!</definedName>
    <definedName name="importe_v">#REF!</definedName>
    <definedName name="PerúPto">#REF!</definedName>
    <definedName name="data26">#REF!</definedName>
    <definedName name="equiv">#REF!</definedName>
    <definedName name="Pagos">#REF!</definedName>
    <definedName name="__10_0Cafo">#REF!</definedName>
    <definedName name="Operaciontotal">#REF!</definedName>
    <definedName name="beta_r">#REF!</definedName>
    <definedName name="CONSOLIDADO">#REF!</definedName>
    <definedName name="Bcer_S1">#REF!</definedName>
    <definedName name="GT_X_REN">#REF!</definedName>
    <definedName name="_27">#REF!</definedName>
    <definedName name="total_zona">#REF!</definedName>
    <definedName name="_12___0Cafo">#REF!</definedName>
    <definedName name="_269_0Cafo">#REF!</definedName>
    <definedName name="viernes">#REF!</definedName>
    <definedName name="NoMonetarioK">#REF!</definedName>
    <definedName name="__10_0Cons">#REF!</definedName>
    <definedName name="NO">#REF!</definedName>
    <definedName name="SSSSSSSS">#REF!</definedName>
    <definedName name="NFL">#REF!</definedName>
    <definedName name="AS">#REF!</definedName>
    <definedName name="personal2">#REF!</definedName>
    <definedName name="QQQ">#REF!</definedName>
    <definedName name="AAA">#REF!</definedName>
    <definedName name="csBA_REP_EDORES_NUEVAS_MISMAS_Dim03">#REF!</definedName>
    <definedName name="csSB_VISTA_LIBRE_SEMANAL_Dim06">#REF!</definedName>
    <definedName name="c_escalones">#REF!</definedName>
    <definedName name="data70">#REF!</definedName>
    <definedName name="Total_Panama">#REF!</definedName>
    <definedName name="TEST7">#REF!</definedName>
    <definedName name="AWJ">#REF!</definedName>
    <definedName name="_4Cafo">#REF!</definedName>
    <definedName name="SALINAS">#REF!</definedName>
    <definedName name="CUST3">#REF!</definedName>
    <definedName name="csSB_EDO_RES_PDCT_GUN_2_Dim07">#REF!</definedName>
    <definedName name="Total_Golfo">#REF!</definedName>
    <definedName name="_4_0Cafo">#REF!</definedName>
    <definedName name="sofia55">#REF!</definedName>
    <definedName name="_584_0Cafo">#REF!</definedName>
    <definedName name="data23">#REF!</definedName>
    <definedName name="csVERO_VISTA_LIBRE_MES_Dim09">#REF!</definedName>
    <definedName name="_22">#REF!</definedName>
    <definedName name="_12_0Boro">#REF!</definedName>
    <definedName name="Trim">#REF!</definedName>
    <definedName name="DatosCapNta">#REF!</definedName>
    <definedName name="TRADICIONAL">#REF!</definedName>
    <definedName name="csBA_REP_MD_EDOSFIN_Dim10">#REF!</definedName>
    <definedName name="costoprog2">#REF!</definedName>
    <definedName name="VnLKC">#REF!</definedName>
    <definedName name="_DAT15">#REF!</definedName>
    <definedName name="Base_de_datos">#REF!</definedName>
    <definedName name="ud">#REF!</definedName>
    <definedName name="PESOS">#REF!</definedName>
    <definedName name="costo_de_capital">#REF!</definedName>
    <definedName name="posicion">#REF!</definedName>
    <definedName name="_14_0Boro">#REF!</definedName>
    <definedName name="RESIKON2">#REF!</definedName>
    <definedName name="cfwqdd">#REF!</definedName>
    <definedName name="data51">#REF!</definedName>
    <definedName name="apsem">#REF!</definedName>
    <definedName name="data34">#REF!</definedName>
    <definedName name="access1">#REF!</definedName>
    <definedName name="SSSSSSSSSSS">#REF!</definedName>
    <definedName name="TEST10">#REF!</definedName>
    <definedName name="conajustmesanr">#REF!</definedName>
    <definedName name="Total_Sureste">#REF!</definedName>
    <definedName name="CONTROL">#REF!</definedName>
    <definedName name="AÑO95">#REF!</definedName>
    <definedName name="csGLOBAL_REP_LIBRE_GLOBAL_Dim09">#REF!</definedName>
    <definedName name="LIQUIDP">#REF!</definedName>
    <definedName name="data58">#REF!</definedName>
    <definedName name="MAYO">#REF!</definedName>
    <definedName name="NUEVATRAD">#REF!</definedName>
    <definedName name="ATTRIBUTE_VALUES_BASE">#REF!</definedName>
    <definedName name="IMPRIMIR">#REF!</definedName>
    <definedName name="AÑO93">#REF!</definedName>
    <definedName name="REF">#REF!</definedName>
    <definedName name="_260_0Bcer">#REF!</definedName>
    <definedName name="__18Boro">#REF!</definedName>
    <definedName name="CRED">#REF!</definedName>
    <definedName name="csSB_EDO_RES_PDCT_2_Dim07">#REF!</definedName>
    <definedName name="cubo_tarjetaazteca">#REF!</definedName>
    <definedName name="CUBE_ROLE_PERMISSIONS">#REF!</definedName>
    <definedName name="CAPITALDETRABAJO">#REF!</definedName>
    <definedName name="sofia2">#REF!</definedName>
    <definedName name="data55">#REF!</definedName>
    <definedName name="OCTUBRE">#REF!</definedName>
    <definedName name="reales">#REF!</definedName>
    <definedName name="csSB_VISTA_LIBRE_SEMANAL_Dim07">#REF!</definedName>
    <definedName name="csBA_REP_MD_EDOSFIN_Dim07">#REF!</definedName>
    <definedName name="area">#REF!</definedName>
    <definedName name="_28">#REF!</definedName>
    <definedName name="LIQUID">#REF!</definedName>
    <definedName name="Estatus_Fase">#REF!</definedName>
    <definedName name="PERSONAL">#REF!</definedName>
    <definedName name="__9_0Boro">#REF!</definedName>
    <definedName name="PLAZO">#REF!</definedName>
    <definedName name="qzqzqz22">#REF!</definedName>
    <definedName name="BANCOS">#REF!</definedName>
    <definedName name="izz">#REF!</definedName>
    <definedName name="_29_0Bcer">#REF!</definedName>
    <definedName name="_60_0Cafo">#REF!</definedName>
    <definedName name="FLUCTUACIONTOTAL">#REF!</definedName>
    <definedName name="mmes">#REF!</definedName>
    <definedName name="VAR_CONS">#REF!</definedName>
    <definedName name="IMPORTE_P">#REF!</definedName>
    <definedName name="__6_0Boro">#REF!</definedName>
    <definedName name="Bronca">#REF!</definedName>
    <definedName name="_149_0Boro">#REF!</definedName>
    <definedName name="data27">#REF!</definedName>
    <definedName name="GASTOS1">#REF!</definedName>
    <definedName name="SaldosCom.">#REF!</definedName>
    <definedName name="csVERO_VISTA_LIBRE_MES_Dim05">#REF!</definedName>
    <definedName name="ManejoCta">#REF!</definedName>
    <definedName name="BDT">#REF!</definedName>
    <definedName name="PEDESTALES2">#REF!</definedName>
    <definedName name="_647_0Cons">#REF!</definedName>
    <definedName name="bhr">#REF!</definedName>
    <definedName name="c_rampas">#REF!</definedName>
    <definedName name="NUEVABOD">#REF!</definedName>
    <definedName name="data46">#REF!</definedName>
    <definedName name="NUEVASTO">#REF!</definedName>
    <definedName name="BRA">#REF!</definedName>
    <definedName name="qzqzqz19">#REF!</definedName>
    <definedName name="C_X_P">#REF!</definedName>
    <definedName name="ER_Big_Ticket">#REF!</definedName>
    <definedName name="Repomos">#REF!</definedName>
    <definedName name="_518_0Cafo">#REF!</definedName>
    <definedName name="ANOTPO">#REF!</definedName>
    <definedName name="_4_0Bcer">#REF!</definedName>
    <definedName name="balance">#REF!</definedName>
    <definedName name="G.oii">#REF!</definedName>
    <definedName name="PRECIO_P65">#REF!</definedName>
    <definedName name="Cons_S2">#REF!</definedName>
    <definedName name="formato2">#REF!</definedName>
    <definedName name="_4">#REF!</definedName>
    <definedName name="Ventas_exp._por_cte._3">#REF!</definedName>
    <definedName name="__15Bcer">#REF!</definedName>
    <definedName name="TIENDASMNB">#REF!</definedName>
    <definedName name="ANIRINT">#REF!</definedName>
    <definedName name="dtyj">#REF!</definedName>
    <definedName name="Resultados_Total">#REF!</definedName>
    <definedName name="VIEJASSYR">#REF!</definedName>
    <definedName name="csSB_EDO_RES_PDCT_CAPTA_2_Dim09">#REF!</definedName>
    <definedName name="_388_0Boro">#REF!</definedName>
    <definedName name="ISPT">#REF!</definedName>
    <definedName name="NUEVOSCREDITOS">#REF!</definedName>
    <definedName name="data45">#REF!</definedName>
    <definedName name="_SM3">#REF!</definedName>
    <definedName name="ER_Durable">#REF!</definedName>
    <definedName name="data37">#REF!</definedName>
    <definedName name="Swaps">#REF!</definedName>
    <definedName name="Argentina">#REF!</definedName>
    <definedName name="data16">#REF!</definedName>
    <definedName name="csSB_EDO_RES_FORM_GUN_2_Dim07">#REF!</definedName>
    <definedName name="__21Cons">#REF!</definedName>
    <definedName name="ddfsadf">#REF!</definedName>
    <definedName name="ahorro">#REF!</definedName>
    <definedName name="METROS22">#REF!</definedName>
    <definedName name="vfvrert">#REF!</definedName>
    <definedName name="GUN_2005">#REF!</definedName>
    <definedName name="TESTVKEY">#REF!</definedName>
    <definedName name="S">#REF!</definedName>
    <definedName name="GEOA">#REF!</definedName>
    <definedName name="_DAT8">#REF!</definedName>
    <definedName name="CUBO3">#REF!</definedName>
    <definedName name="ssso">#REF!</definedName>
    <definedName name="_30_0Bcer">#REF!</definedName>
    <definedName name="_DAT3">#REF!</definedName>
    <definedName name="DIRECCION">#REF!</definedName>
    <definedName name="RESERVASCREDITO">#REF!</definedName>
    <definedName name="csSB_VISTA_LIBRE_PDCT_2_Dim05">#REF!</definedName>
    <definedName name="__5_0Bcer">#REF!</definedName>
    <definedName name="_DAT11">#REF!</definedName>
    <definedName name="LIQUIAP">#REF!</definedName>
    <definedName name="CAPTA">#REF!</definedName>
    <definedName name="COMISIONESCOBRADAS">#REF!</definedName>
    <definedName name="OCCIDENTE">#REF!</definedName>
    <definedName name="ComPagadas">#REF!</definedName>
    <definedName name="DNY">#REF!</definedName>
    <definedName name="GTOSOP">#REF!</definedName>
    <definedName name="sdf">#REF!</definedName>
    <definedName name="ctp">#REF!</definedName>
    <definedName name="IMPORTE_PEDESTAL">#REF!</definedName>
    <definedName name="openoppmes2">#REF!</definedName>
    <definedName name="_36">#REF!</definedName>
    <definedName name="Ventas_nales._por_cte._dls3">#REF!</definedName>
    <definedName name="d">#REF!</definedName>
    <definedName name="ER_Unefon">#REF!</definedName>
    <definedName name="csBA_REP_EDORES_NUEVAS_MISMASAnchor">#REF!</definedName>
    <definedName name="No_Cotiz">#REF!</definedName>
    <definedName name="csGLOBAL_REP_LIBRE_GLOBAL_Dim08">#REF!</definedName>
    <definedName name="FESEM2">#REF!</definedName>
    <definedName name="PRECIO_P45">#REF!</definedName>
    <definedName name="csBA_REP_EDORES_NUEVAS_MISMAS_Dim07">#REF!</definedName>
    <definedName name="csBA_REP_MD_EDOSFIN_Dim08">#REF!</definedName>
    <definedName name="ComCobradas">#REF!</definedName>
    <definedName name="IVASA">#REF!</definedName>
    <definedName name="precio_tm">#REF!</definedName>
    <definedName name="qzqzqz24">#REF!</definedName>
    <definedName name="ytr">#REF!</definedName>
    <definedName name="data66">#REF!</definedName>
    <definedName name="ge">#REF!</definedName>
    <definedName name="TEST15">#REF!</definedName>
    <definedName name="MACROPROM">#REF!</definedName>
    <definedName name="csSB_VISTA_LIBRE_FORM_2_Dim07">#REF!</definedName>
    <definedName name="dfasdsqa">#REF!</definedName>
    <definedName name="tabulares_canal">#REF!</definedName>
    <definedName name="_10_0Cons">#REF!</definedName>
    <definedName name="Matriz">#REF!</definedName>
    <definedName name="COMP">#REF!</definedName>
    <definedName name="Fecha_calculo">#REF!</definedName>
    <definedName name="MmExcelLinker_62BF8648_4AF0_4218_8B98_B7E2F8E19F7E">#REF!</definedName>
    <definedName name="COEFIC_UTIL_93">#REF!</definedName>
    <definedName name="Cons_S1">#REF!</definedName>
    <definedName name="SINIESTROS1">#REF!</definedName>
    <definedName name="_34">#REF!</definedName>
    <definedName name="Total_Tierra_Caliente">#REF!</definedName>
    <definedName name="TIENDAS2">#REF!</definedName>
    <definedName name="aptrim">#REF!</definedName>
    <definedName name="CCT">#REF!</definedName>
    <definedName name="corresp">#REF!</definedName>
    <definedName name="CONSUINF">#REF!</definedName>
    <definedName name="lam">#REF!</definedName>
    <definedName name="_6">#REF!</definedName>
    <definedName name="csSB_EDO_RES_PDCT_GUN_2_Dim08">#REF!</definedName>
    <definedName name="CUBES">#REF!</definedName>
    <definedName name="PRECIO_IF100">#REF!</definedName>
    <definedName name="_12">#REF!</definedName>
    <definedName name="METROS2">#REF!</definedName>
    <definedName name="RESIKON">#REF!</definedName>
    <definedName name="AMIVA">#REF!</definedName>
    <definedName name="ALTURA_P">#REF!</definedName>
    <definedName name="TRAVESAÑOS">#REF!</definedName>
    <definedName name="EUROBONO">#REF!</definedName>
    <definedName name="__tax1">#REF!</definedName>
    <definedName name="GEO">#REF!</definedName>
    <definedName name="_89_0Bcer">#REF!</definedName>
    <definedName name="Ventas_exp._por_cte._2">#REF!</definedName>
    <definedName name="MOVBANCO">#REF!</definedName>
    <definedName name="DIMENSIONS">#REF!</definedName>
    <definedName name="PASIVOS_A">#REF!</definedName>
    <definedName name="_6___0Boro">#REF!</definedName>
    <definedName name="csSB_VISTA_LIBRE_PDCT_2_Dim07">#REF!</definedName>
    <definedName name="Información_Financiera3">#REF!</definedName>
    <definedName name="qzqzqz18">#REF!</definedName>
    <definedName name="zxcd">#REF!</definedName>
    <definedName name="gfdgfd">#REF!</definedName>
    <definedName name="LUGAR_I">#REF!</definedName>
    <definedName name="VACIADO_IMSS">#REF!</definedName>
    <definedName name="data29">#REF!</definedName>
    <definedName name="_53">#REF!</definedName>
    <definedName name="TESO">#REF!</definedName>
    <definedName name="ahorrito">#REF!</definedName>
    <definedName name="PerúplusConsumo">#REF!</definedName>
    <definedName name="_238_0Cafo">#REF!</definedName>
    <definedName name="q">#REF!</definedName>
    <definedName name="_SM4">#REF!</definedName>
    <definedName name="HIS">#REF!</definedName>
    <definedName name="FEC.VTO">#REF!</definedName>
    <definedName name="AUI">#REF!</definedName>
    <definedName name="__8_0Cafo">#REF!</definedName>
    <definedName name="SCQW">#REF!</definedName>
    <definedName name="periodo">#REF!</definedName>
    <definedName name="impresion">#REF!</definedName>
    <definedName name="ValorIVA.Acred">#REF!</definedName>
    <definedName name="_14">#REF!</definedName>
    <definedName name="csSB_EDO_RES_GEO_CENTRAL_2_Dim04">#REF!</definedName>
    <definedName name="_11_0Boro">#REF!</definedName>
    <definedName name="CANAL">#REF!</definedName>
    <definedName name="data61">#REF!</definedName>
    <definedName name="qzqzqz11">#REF!</definedName>
    <definedName name="PDEUDAS">#REF!</definedName>
    <definedName name="METRONORTE">#REF!</definedName>
    <definedName name="_13_0Boro">#REF!</definedName>
    <definedName name="SAFD">#REF!</definedName>
    <definedName name="__19Cafo">#REF!</definedName>
    <definedName name="_33">#REF!</definedName>
    <definedName name="CartaProg">#REF!</definedName>
    <definedName name="ef">#REF!</definedName>
    <definedName name="precio_rampa">#REF!</definedName>
    <definedName name="Producto">#REF!</definedName>
    <definedName name="CHECAR2209">#REF!</definedName>
    <definedName name="data52">#REF!</definedName>
    <definedName name="analisiscif2as">#REF!</definedName>
    <definedName name="prodctafars">#REF!</definedName>
    <definedName name="_118_0Bcer">#REF!</definedName>
    <definedName name="_21___0Cons">#REF!</definedName>
    <definedName name="qq">#REF!</definedName>
    <definedName name="SEMFE">#REF!</definedName>
    <definedName name="_Sort">#REF!</definedName>
    <definedName name="_192_0Bcer">#REF!</definedName>
    <definedName name="_2">#REF!</definedName>
    <definedName name="WBMAX">#REF!</definedName>
    <definedName name="_120_0Bcer">#REF!</definedName>
    <definedName name="A_IMPRESIÓN_IM">#REF!</definedName>
    <definedName name="Anexo1resultados">#REF!</definedName>
    <definedName name="csSB_VISTA_LIBRE_GEO_2_Dim05">#REF!</definedName>
    <definedName name="et">#REF!</definedName>
    <definedName name="GRAFMENS">#REF!</definedName>
    <definedName name="qwrrt">#REF!</definedName>
    <definedName name="_520_0Cafo">#REF!</definedName>
    <definedName name="_19_0Cons">#REF!</definedName>
    <definedName name="PROY_VENTAS">#REF!</definedName>
    <definedName name="Ventas_nales._por_cte._dls2">#REF!</definedName>
    <definedName name="Resultados_dólares3">#REF!</definedName>
    <definedName name="_11_0Cons">#REF!</definedName>
    <definedName name="__14Bcer">#REF!</definedName>
    <definedName name="qscqwdq">#REF!</definedName>
    <definedName name="pagprovi">#REF!</definedName>
    <definedName name="Recib_repos">#REF!</definedName>
    <definedName name="BDA">#REF!</definedName>
    <definedName name="CUBO1">#REF!</definedName>
    <definedName name="AÑO79">#REF!</definedName>
    <definedName name="consejo">#REF!</definedName>
    <definedName name="htgrfedwqs">#REF!</definedName>
    <definedName name="_519_0Cafo">#REF!</definedName>
    <definedName name="formato8">#REF!</definedName>
    <definedName name="a">#REF!</definedName>
    <definedName name="_tax3">#REF!</definedName>
    <definedName name="SORTEOOPSMES">#REF!</definedName>
    <definedName name="ssssssssss">#REF!</definedName>
    <definedName name="CIF">#REF!</definedName>
    <definedName name="__9_0Cafo">#REF!</definedName>
    <definedName name="CONCILIACION">#REF!</definedName>
    <definedName name="ER_Total_Credimax">#REF!</definedName>
    <definedName name="INVENT">#REF!</definedName>
    <definedName name="_12_Feb_2004">#REF!</definedName>
    <definedName name="CF">#REF!</definedName>
    <definedName name="TasaPeriodo">#REF!</definedName>
    <definedName name="MENU">#REF!</definedName>
    <definedName name="_SM2">#REF!</definedName>
    <definedName name="TEST1">#REF!</definedName>
    <definedName name="MONTO">#REF!</definedName>
    <definedName name="_8_0Bcer">#REF!</definedName>
    <definedName name="Anexo1">#REF!</definedName>
    <definedName name="_239_0Cafo">#REF!</definedName>
    <definedName name="csSB_VISTA_LIBRE_Dim05">#REF!</definedName>
    <definedName name="csSB_VISTA_LIBRE_SEMANAL_Dim05">#REF!</definedName>
    <definedName name="REPMPYRESULT">#REF!</definedName>
    <definedName name="CONSOLIDADO2">#REF!</definedName>
    <definedName name="csVERO_VISTA_LIBRE_MES_Dim04">#REF!</definedName>
    <definedName name="_SM7">#REF!</definedName>
    <definedName name="Capta1">#REF!</definedName>
    <definedName name="CONSvsPRES">#REF!</definedName>
    <definedName name="tabulares_region">#REF!</definedName>
    <definedName name="PEDESTALES">#REF!</definedName>
    <definedName name="_1_0Bcer">#REF!</definedName>
    <definedName name="Total_El_Salvador">#REF!</definedName>
    <definedName name="data36">#REF!</definedName>
    <definedName name="BG">#REF!</definedName>
    <definedName name="COSTOFONDEO">#REF!</definedName>
    <definedName name="AMUB">#REF!</definedName>
    <definedName name="WEFF">#REF!</definedName>
    <definedName name="_1302DEUDAS">#REF!</definedName>
    <definedName name="bU186.">#REF!</definedName>
    <definedName name="NOM">#REF!</definedName>
    <definedName name="ffddfsdfs">#REF!</definedName>
    <definedName name="PORTAPLACAS_H">#REF!</definedName>
    <definedName name="celltips_area">#REF!</definedName>
    <definedName name="PRECIO_P25">#REF!</definedName>
    <definedName name="NOVIEMBRE">#REF!</definedName>
    <definedName name="_329_0Cons">#REF!</definedName>
    <definedName name="data30">#REF!</definedName>
    <definedName name="precio_pra">#REF!</definedName>
    <definedName name="data21">#REF!</definedName>
    <definedName name="PPTO">#REF!</definedName>
    <definedName name="ui">#REF!</definedName>
    <definedName name="VLineas">#REF!</definedName>
    <definedName name="Su">#REF!</definedName>
    <definedName name="qzqzqz12">#REF!</definedName>
    <definedName name="dflt2">#REF!</definedName>
    <definedName name="__7_0Boro">#REF!</definedName>
    <definedName name="ayi">#REF!</definedName>
    <definedName name="precio_e">#REF!</definedName>
    <definedName name="CV">#REF!</definedName>
    <definedName name="Sipres1">#REF!</definedName>
    <definedName name="BODEGA">#REF!</definedName>
    <definedName name="_64_0Bcer">#REF!</definedName>
    <definedName name="PHG">#REF!</definedName>
    <definedName name="TASANOM">#REF!</definedName>
    <definedName name="dfs">#REF!</definedName>
    <definedName name="PAGOS_PROVISIONALES">#REF!</definedName>
    <definedName name="data24">#REF!</definedName>
    <definedName name="_240_0Cafo">#REF!</definedName>
    <definedName name="VIEJATRAD">#REF!</definedName>
    <definedName name="sofia">#REF!</definedName>
    <definedName name="PRECIO_P30">#REF!</definedName>
    <definedName name="AÑO97">#REF!</definedName>
    <definedName name="SUBSIDIO">#REF!</definedName>
    <definedName name="WW">#REF!</definedName>
    <definedName name="h">#REF!</definedName>
    <definedName name="concentradoras_deudoras">#REF!</definedName>
    <definedName name="formato10">#REF!</definedName>
    <definedName name="tiempos_entrega">#REF!</definedName>
    <definedName name="_8_0Boro">#REF!</definedName>
    <definedName name="NoMonetarioA">#REF!</definedName>
    <definedName name="PRECIO_PMOD">#REF!</definedName>
    <definedName name="csBA_REP_EDORES_NUEVAS_MISMAS_Dim04">#REF!</definedName>
    <definedName name="ghgjhg">#REF!</definedName>
    <definedName name="csSB_EDO_RES_GEO_GUN_2_Dim05">#REF!</definedName>
    <definedName name="PROYECTO">#REF!</definedName>
    <definedName name="TEST17">#REF!</definedName>
    <definedName name="COMPL_OCT98">#REF!</definedName>
    <definedName name="concentradoras_acreedoras">#REF!</definedName>
    <definedName name="AHD">#REF!</definedName>
    <definedName name="csSB_VISTA_LIBRE_FORM_2_Dim06">#REF!</definedName>
    <definedName name="MDXCUBECOMMAND">#REF!</definedName>
    <definedName name="_715_0Cons">#REF!</definedName>
    <definedName name="__17Boro">#REF!</definedName>
    <definedName name="_5_0Bcer">#REF!</definedName>
    <definedName name="ert">#REF!</definedName>
    <definedName name="z">#REF!</definedName>
    <definedName name="VACIADO_SAR_INFONAVIT">#REF!</definedName>
    <definedName name="zcxcx">#REF!</definedName>
    <definedName name="TEST18">#REF!</definedName>
    <definedName name="PRODUCT">#REF!</definedName>
    <definedName name="_3___0Bcer">#REF!</definedName>
    <definedName name="CostProg1">#REF!</definedName>
    <definedName name="FINSA">#REF!</definedName>
    <definedName name="REDO.CONTABLE">#REF!</definedName>
    <definedName name="ER_Foto">#REF!</definedName>
    <definedName name="_20_0Cons">#REF!</definedName>
    <definedName name="Tiendas_base">#REF!</definedName>
    <definedName name="Prop_Pta_y_Equipo2">#REF!</definedName>
    <definedName name="uno">#REF!</definedName>
    <definedName name="POLISERVICIO">#REF!</definedName>
    <definedName name="CONSUISS">#REF!</definedName>
    <definedName name="Costohora">#REF!</definedName>
    <definedName name="qzqzqz28">#REF!</definedName>
    <definedName name="AÑO87">#REF!</definedName>
    <definedName name="TEST22">#REF!</definedName>
    <definedName name="Relación">#REF!</definedName>
    <definedName name="csSB_VISTA_LIBRE_MENSUAL_Dim07">#REF!</definedName>
    <definedName name="sa">#REF!</definedName>
    <definedName name="qzqzqz6">#REF!</definedName>
    <definedName name="saldo_credito">#REF!</definedName>
    <definedName name="tdin">#REF!</definedName>
    <definedName name="sucursales">#REF!</definedName>
    <definedName name="_39">#REF!</definedName>
    <definedName name="_16Boro">#REF!</definedName>
    <definedName name="csBA_REP_EDORES_NUEVAS_MISMAS_Dim10">#REF!</definedName>
    <definedName name="TIPOSALDO">#REF!</definedName>
    <definedName name="CANAL_CAPTADORES">#REF!</definedName>
    <definedName name="mil">#REF!</definedName>
    <definedName name="_259_0Bcer">#REF!</definedName>
    <definedName name="_2_0Cafo">#REF!</definedName>
    <definedName name="aq">#REF!</definedName>
    <definedName name="RangoDatos">#REF!</definedName>
    <definedName name="_Sort1">#REF!</definedName>
    <definedName name="csBA_REP_EDORES_NUEVAS_MISMAS_Dim05">#REF!</definedName>
    <definedName name="PRECIO_I30">#REF!</definedName>
    <definedName name="FechaInicio">#REF!</definedName>
    <definedName name="SP.BCO.SEPT.">#REF!</definedName>
    <definedName name="UPAX">#REF!</definedName>
    <definedName name="CORPO_2005">#REF!</definedName>
    <definedName name="ANT">#REF!</definedName>
    <definedName name="csSB_EDO_RES_GEO_2_Dim04">#REF!</definedName>
    <definedName name="ControlProductos">#REF!</definedName>
    <definedName name="GRAF">#REF!</definedName>
    <definedName name="qzqzqz21">#REF!</definedName>
    <definedName name="beta">#REF!</definedName>
    <definedName name="Anexo4">#REF!</definedName>
    <definedName name="DiasCategorias">#REF!</definedName>
    <definedName name="mtrim">#REF!</definedName>
    <definedName name="fsfsd">#REF!</definedName>
    <definedName name="csSB_VISTA_LIBRE_GEO_2_Dim07">#REF!</definedName>
    <definedName name="RESULT">#REF!</definedName>
    <definedName name="_270_0Cafo">#REF!</definedName>
    <definedName name="_DAT12">#REF!</definedName>
    <definedName name="data15">#REF!</definedName>
    <definedName name="lam2rpa">#REF!</definedName>
    <definedName name="o">#REF!</definedName>
    <definedName name="data1">#REF!</definedName>
    <definedName name="HKC">#REF!</definedName>
    <definedName name="ARREN">#REF!</definedName>
    <definedName name="PRECIO_I100">#REF!</definedName>
    <definedName name="plan008">#REF!</definedName>
    <definedName name="_453_0Boro">#REF!</definedName>
    <definedName name="dflt1">#REF!</definedName>
    <definedName name="_11_0Cafo">#REF!</definedName>
    <definedName name="CapitalContable">#REF!</definedName>
    <definedName name="PRECIO_P55">#REF!</definedName>
    <definedName name="_16">#REF!</definedName>
    <definedName name="saldo_credito_TOTAL">#REF!</definedName>
    <definedName name="RESU1">#REF!</definedName>
    <definedName name="TEST52">#REF!</definedName>
    <definedName name="data49">#REF!</definedName>
    <definedName name="MPA">#REF!</definedName>
    <definedName name="_SM9">#REF!</definedName>
    <definedName name="PLACASB">#REF!</definedName>
    <definedName name="RESULTADOS1">#REF!</definedName>
    <definedName name="PERSONAL1">#REF!</definedName>
    <definedName name="_649_0Cons">#REF!</definedName>
    <definedName name="csSB_EDO_RES_FORM_CENTRAL_2_Dim05">#REF!</definedName>
    <definedName name="TIENDAS">#REF!</definedName>
    <definedName name="qzqzqz9">#REF!</definedName>
    <definedName name="_35">#REF!</definedName>
    <definedName name="beta_ums">#REF!</definedName>
    <definedName name="SP.BCOJULIO">#REF!</definedName>
    <definedName name="_31">#REF!</definedName>
    <definedName name="SINVACC">#REF!</definedName>
    <definedName name="_299_0Cons">#REF!</definedName>
    <definedName name="__4Cafo">#REF!</definedName>
    <definedName name="BANORMEX">#REF!</definedName>
    <definedName name="DICIEMBRE">#REF!</definedName>
    <definedName name="csSB_EDO_RES_PDCT_2_Dim09">#REF!</definedName>
    <definedName name="data4">#REF!</definedName>
    <definedName name="JULIO">#REF!</definedName>
    <definedName name="_322_0Boro">#REF!</definedName>
    <definedName name="AÑODEPIA">#REF!</definedName>
    <definedName name="precio_escalon">#REF!</definedName>
    <definedName name="COLONIA">#REF!</definedName>
    <definedName name="FGF">#REF!</definedName>
    <definedName name="dflt3">#REF!</definedName>
    <definedName name="_9_0Cafo">#REF!</definedName>
    <definedName name="data64">#REF!</definedName>
    <definedName name="AAAA">#REF!</definedName>
    <definedName name="_22_0Cons">#REF!</definedName>
    <definedName name="compara">#REF!</definedName>
    <definedName name="qzqzqz16">#REF!</definedName>
    <definedName name="csSB_EDO_RES_FORM_GUN_2_Dim05">#REF!</definedName>
    <definedName name="FESEM1">#REF!</definedName>
    <definedName name="importe_r">#REF!</definedName>
    <definedName name="csBA_REP_MD_EDOSFIN_Dim06">#REF!</definedName>
    <definedName name="data8">#REF!</definedName>
    <definedName name="EWQ">#REF!</definedName>
    <definedName name="PLACAS">#REF!</definedName>
    <definedName name="qzqzqz7">#REF!</definedName>
    <definedName name="PERIOD">#REF!</definedName>
    <definedName name="ANCOIF">#REF!</definedName>
    <definedName name="AÑO96">#REF!</definedName>
    <definedName name="boxes">#REF!</definedName>
    <definedName name="CHECAR10DIC">#REF!</definedName>
    <definedName name="Total_Guatemala">#REF!</definedName>
    <definedName name="EMPAQUESB">#REF!</definedName>
    <definedName name="TEST3">#REF!</definedName>
    <definedName name="data9">#REF!</definedName>
    <definedName name="__22Cons">#REF!</definedName>
    <definedName name="ASASA">#REF!</definedName>
    <definedName name="data13">#REF!</definedName>
    <definedName name="qzqzqz26">#REF!</definedName>
    <definedName name="VDSUELDOS">#REF!</definedName>
    <definedName name="Dvdvde">#REF!</definedName>
    <definedName name="csSB_VISTA_LIBRE_GEO_2_Dim06">#REF!</definedName>
    <definedName name="CIFTERCERDOC">#REF!</definedName>
    <definedName name="AGOSTO">#REF!</definedName>
    <definedName name="MACRO2">#REF!</definedName>
    <definedName name="CONSvsPRESBIS">#REF!</definedName>
    <definedName name="OIA">#REF!</definedName>
    <definedName name="fond">#REF!</definedName>
    <definedName name="inf">#REF!</definedName>
    <definedName name="_63_0Bcer">#REF!</definedName>
    <definedName name="ALAS">#REF!</definedName>
    <definedName name="COMPEN2">#REF!</definedName>
    <definedName name="_5_0Boro">#REF!</definedName>
    <definedName name="ANALGTOS">#REF!</definedName>
    <definedName name="csSB_VISTA_LIBRE_MENSUAL_Dim12">#REF!</definedName>
    <definedName name="csSB_VISTA_LIBRE_FORM_2_Dim04">#REF!</definedName>
    <definedName name="ENERO">#REF!</definedName>
    <definedName name="Total_Norte">#REF!</definedName>
    <definedName name="_tax1">#REF!</definedName>
    <definedName name="csSB_VISTA_LIBRE_SEMANAL_Dim08">#REF!</definedName>
    <definedName name="Anexo5">#REF!</definedName>
    <definedName name="formato7">#REF!</definedName>
    <definedName name="Boro_S1">#REF!</definedName>
    <definedName name="data42">#REF!</definedName>
    <definedName name="_18Boro">#REF!</definedName>
    <definedName name="csSB_VISTA_LIBRE_GEO_2_Dim08">#REF!</definedName>
    <definedName name="formato1">#REF!</definedName>
    <definedName name="semana">#REF!</definedName>
    <definedName name="SP">#REF!</definedName>
    <definedName name="_18_0Cafo">#REF!</definedName>
    <definedName name="TEST13">#REF!</definedName>
    <definedName name="dfsadfasdfsad">#REF!</definedName>
    <definedName name="qzqzqz17">#REF!</definedName>
    <definedName name="_DAT2">#REF!</definedName>
    <definedName name="_SM1">#REF!</definedName>
    <definedName name="Anexo1Balance">#REF!</definedName>
    <definedName name="Bcer_S2">#REF!</definedName>
    <definedName name="ER_canales">#REF!</definedName>
    <definedName name="_DAT5">#REF!</definedName>
    <definedName name="SSSSSSSSS">#REF!</definedName>
    <definedName name="data35">#REF!</definedName>
    <definedName name="MEGA">#REF!</definedName>
    <definedName name="_8_0Cafo">#REF!</definedName>
    <definedName name="JDA">#REF!</definedName>
    <definedName name="IVA">#REF!</definedName>
    <definedName name="csSB_EDO_RES_PDCT_COLOC_2_Dim07">#REF!</definedName>
    <definedName name="Ventas_exp._por_cte._dls2">#REF!</definedName>
    <definedName name="qzqzqz14">#REF!</definedName>
    <definedName name="P.P.I.A.">#REF!</definedName>
    <definedName name="__13_0Cons">#REF!</definedName>
    <definedName name="I.S.P.T.">#REF!</definedName>
    <definedName name="PRECIO_P6">#REF!</definedName>
    <definedName name="SP.BCO.OCTU">#REF!</definedName>
    <definedName name="saldos_creditoS">#REF!</definedName>
    <definedName name="vital5">#REF!</definedName>
    <definedName name="CrecimientoTIIE">#REF!</definedName>
    <definedName name="INPC">#REF!</definedName>
    <definedName name="data57">#REF!</definedName>
    <definedName name="ddddffgf">#REF!</definedName>
    <definedName name="_21Cons">#REF!</definedName>
    <definedName name="CU">#REF!</definedName>
    <definedName name="_DAT1">#REF!</definedName>
    <definedName name="CUFIN">#REF!</definedName>
    <definedName name="Total_Peru">#REF!</definedName>
    <definedName name="VACIADO_IMPUESTO_NOMINAS">#REF!</definedName>
    <definedName name="VProdCap">#REF!</definedName>
    <definedName name="csSB_EDO_RES_FORM_CENTRAL_2_Dim07">#REF!</definedName>
    <definedName name="otr">#REF!</definedName>
    <definedName name="ANTERIOR">#REF!</definedName>
    <definedName name="data38">#REF!</definedName>
    <definedName name="TRAVESAÑOS2">#REF!</definedName>
    <definedName name="sfg">#REF!</definedName>
    <definedName name="qzqzqz31">#REF!</definedName>
    <definedName name="ANALISISS">#REF!</definedName>
    <definedName name="prov">#REF!</definedName>
    <definedName name="CUADRO">#REF!</definedName>
    <definedName name="tabla_movimientos_anterior">#REF!</definedName>
    <definedName name="carro">#REF!</definedName>
    <definedName name="GASTOS2">#REF!</definedName>
    <definedName name="PP_CN">#REF!</definedName>
    <definedName name="yr">#REF!</definedName>
    <definedName name="csSB_EDO_RES_FORM_2_Dim06">#REF!</definedName>
    <definedName name="IMPAC_FAVOR">#REF!</definedName>
    <definedName name="Guatemala">#REF!</definedName>
    <definedName name="MmExcelLinker_A8A69DDF_F9D9_4959_82EB_1AED1A5DB16F">#REF!</definedName>
    <definedName name="Resumen_Dlls3">#REF!</definedName>
    <definedName name="_o15421">#REF!</definedName>
    <definedName name="DAVID">#REF!</definedName>
    <definedName name="Opciones">#REF!</definedName>
    <definedName name="_325_0Boro">#REF!</definedName>
    <definedName name="_43">#REF!</definedName>
    <definedName name="ANIRARR">#REF!</definedName>
    <definedName name="Futuros">#REF!</definedName>
    <definedName name="ResumenCostos">#REF!</definedName>
    <definedName name="Ventas_exp._por_cte._dls1">#REF!</definedName>
    <definedName name="MARZO">#REF!</definedName>
    <definedName name="fecha2">#REF!</definedName>
    <definedName name="CANALEKT">#REF!</definedName>
    <definedName name="Cafo_S3">#REF!</definedName>
    <definedName name="csSB_EDO_RES_FORM_2_Dim05">#REF!</definedName>
    <definedName name="prueba">#REF!</definedName>
    <definedName name="_454_0Boro">#REF!</definedName>
    <definedName name="RES">#REF!</definedName>
    <definedName name="_65_0Bcer">#REF!</definedName>
    <definedName name="_DAT10">#REF!</definedName>
    <definedName name="_15___0Cafo">#REF!</definedName>
    <definedName name="Bcer_S3">#REF!</definedName>
    <definedName name="_24___0Cons">#REF!</definedName>
    <definedName name="SP.BCO.AGOS">#REF!</definedName>
    <definedName name="VER_CONS_">#REF!</definedName>
    <definedName name="vvev">#REF!</definedName>
    <definedName name="Tabla">#REF!</definedName>
    <definedName name="zcxzc">#REF!</definedName>
    <definedName name="_DAT13">#REF!</definedName>
    <definedName name="sasa">#REF!</definedName>
    <definedName name="FOD">#REF!</definedName>
    <definedName name="qzqzqz23">#REF!</definedName>
    <definedName name="AMCIF">#REF!</definedName>
    <definedName name="CTOVENTAS">#REF!</definedName>
    <definedName name="precio_t">#REF!</definedName>
    <definedName name="Resultados_dólares2">#REF!</definedName>
    <definedName name="PRECIO_IF30">#REF!</definedName>
    <definedName name="vcxvc">#REF!</definedName>
    <definedName name="_DAT16">#REF!</definedName>
    <definedName name="ANGASVEN">#REF!</definedName>
    <definedName name="_517_0Cafo">#REF!</definedName>
    <definedName name="CUST2">#REF!</definedName>
    <definedName name="__3_0Cafo">#REF!</definedName>
    <definedName name="Apellido">#REF!</definedName>
    <definedName name="csSB_EDO_RES_GEO_2_Dim05">#REF!</definedName>
    <definedName name="qzqzqz27">#REF!</definedName>
    <definedName name="MIGUEL">#REF!</definedName>
    <definedName name="_178_0Boro">#REF!</definedName>
    <definedName name="VER">#REF!</definedName>
    <definedName name="Cafo_S2">#REF!</definedName>
    <definedName name="__tax4">#REF!</definedName>
    <definedName name="_3">#REF!</definedName>
    <definedName name="Vers1">#REF!</definedName>
    <definedName name="_23">#REF!</definedName>
    <definedName name="Fechas_Mes">#REF!</definedName>
    <definedName name="_13">#REF!</definedName>
    <definedName name="Prop_Pta_y_Equipo3">#REF!</definedName>
    <definedName name="_389_0Boro">#REF!</definedName>
    <definedName name="csSB_VISTA_LIBRE_FORM_2_Dim05">#REF!</definedName>
    <definedName name="apmes">#REF!</definedName>
    <definedName name="PerúCrecimientos">#REF!</definedName>
    <definedName name="TRIMESTRAL">#REF!</definedName>
    <definedName name="Información_Financiera2">#REF!</definedName>
    <definedName name="_2_0Bcer">#REF!</definedName>
    <definedName name="VAños">#REF!</definedName>
    <definedName name="data12">#REF!</definedName>
    <definedName name="PTU">#REF!</definedName>
    <definedName name="IMPORTE_F">#REF!</definedName>
    <definedName name="CC_CN">#REF!</definedName>
    <definedName name="_328_0Cons">#REF!</definedName>
    <definedName name="_21">#REF!</definedName>
    <definedName name="button_area_1">#REF!</definedName>
    <definedName name="fesema">#REF!</definedName>
    <definedName name="SEPTIEMBRE">#REF!</definedName>
    <definedName name="TIEMPO_INSTALACION">#REF!</definedName>
    <definedName name="PLACAS2">#REF!</definedName>
    <definedName name="csSB_VISTA_LIBRE_PDCT_2_Dim09">#REF!</definedName>
    <definedName name="Boro_S3">#REF!</definedName>
    <definedName name="sem">#REF!</definedName>
    <definedName name="csSB_VISTA_LIBRE_MENSUAL_Dim14">#REF!</definedName>
    <definedName name="PROPORSUBSIDIO">#REF!</definedName>
    <definedName name="VIEJAMEGA">#REF!</definedName>
    <definedName name="area_imp_cons_bis">#REF!</definedName>
    <definedName name="CREDITOS">#REF!</definedName>
    <definedName name="comparativo">#REF!</definedName>
    <definedName name="carolina">#REF!</definedName>
    <definedName name="asdasdas">#REF!</definedName>
    <definedName name="IMPORTE_I">#REF!</definedName>
    <definedName name="bueno">#REF!</definedName>
    <definedName name="qzqzqz32">#REF!</definedName>
    <definedName name="Costos_de_Producción">#REF!</definedName>
    <definedName name="dflt4">#REF!</definedName>
    <definedName name="_179_0Boro">#REF!</definedName>
    <definedName name="ZZZ">#REF!</definedName>
    <definedName name="posicionvalores">#REF!</definedName>
    <definedName name="_37">#REF!</definedName>
    <definedName name="VAR_REG">#REF!</definedName>
    <definedName name="ABRIL">#REF!</definedName>
    <definedName name="pro">#REF!</definedName>
    <definedName name="eeCK115">#REF!</definedName>
    <definedName name="CONSUEL">#REF!</definedName>
    <definedName name="MmExcelLinker_7F004752_0A87_41DB_A291_659C568596A5">#REF!</definedName>
    <definedName name="_tax2">#REF!</definedName>
    <definedName name="data41">#REF!</definedName>
    <definedName name="csSB_EDO_RES_GEO_GUN_2_Dim04">#REF!</definedName>
    <definedName name="_7_0Boro">#REF!</definedName>
    <definedName name="CZM">#REF!</definedName>
    <definedName name="tretr">#REF!</definedName>
    <definedName name="dinam">#REF!</definedName>
    <definedName name="GPOS">#REF!</definedName>
    <definedName name="ado">#REF!</definedName>
    <definedName name="importe_escalon">#REF!</definedName>
    <definedName name="data60">#REF!</definedName>
    <definedName name="dbdb">#REF!</definedName>
    <definedName name="_SM5">#REF!</definedName>
    <definedName name="Ajuste1">#REF!</definedName>
    <definedName name="PRECIO_P">#REF!</definedName>
    <definedName name="DESCUENTO">#REF!</definedName>
    <definedName name="dfgdgf">#REF!</definedName>
    <definedName name="_38">#REF!</definedName>
    <definedName name="Honduras">#REF!</definedName>
    <definedName name="CUST4">#REF!</definedName>
    <definedName name="qzqzqz13">#REF!</definedName>
    <definedName name="MmExcelLinker_004ADAE7_8CDD_4846_A224_684A9EBFDEE6">#REF!</definedName>
    <definedName name="VProductos">#REF!</definedName>
    <definedName name="Calc">#REF!</definedName>
    <definedName name="IVAS">#REF!</definedName>
    <definedName name="Total_Metro_Norte">#REF!</definedName>
    <definedName name="CC">#REF!</definedName>
    <definedName name="data6">#REF!</definedName>
    <definedName name="ft">#REF!</definedName>
    <definedName name="CC_CR">#REF!</definedName>
    <definedName name="dflt6">#REF!</definedName>
    <definedName name="FEBRERO">#REF!</definedName>
    <definedName name="PASIVOSA">#REF!</definedName>
    <definedName name="data44">#REF!</definedName>
    <definedName name="_DAT17">#REF!</definedName>
    <definedName name="Cons_S3">#REF!</definedName>
    <definedName name="EDOCAMBIOS">#REF!</definedName>
    <definedName name="data40">#REF!</definedName>
    <definedName name="PERSONA_DIRIGIDA">#REF!</definedName>
    <definedName name="LIQUIA">#REF!</definedName>
    <definedName name="VDIMSS">#REF!</definedName>
    <definedName name="Rampa">#REF!</definedName>
    <definedName name="RESUMEN_PAGPROV">#REF!</definedName>
    <definedName name="C.U.F.">#REF!</definedName>
    <definedName name="CANALSYR">#REF!</definedName>
    <definedName name="PérdidaFiscalPorAmortizar">#REF!</definedName>
    <definedName name="ANGASAD">#REF!</definedName>
    <definedName name="data22">#REF!</definedName>
    <definedName name="IVAS_A">#REF!</definedName>
    <definedName name="Total_Honduras">#REF!</definedName>
    <definedName name="COMISIONESPAGADAS">#REF!</definedName>
    <definedName name="csBA_REP_EDORES_NUEVAS_MISMAS_Dim06">#REF!</definedName>
    <definedName name="DatosCap">#REF!</definedName>
    <definedName name="_16_0Cafo">#REF!</definedName>
    <definedName name="_tax4">#REF!</definedName>
    <definedName name="AnexoI">#REF!</definedName>
    <definedName name="csSB_EDO_RES_GEO_GUN_2_Dim06">#REF!</definedName>
    <definedName name="csSB_EDO_RES_PDCT_2_Dim08">#REF!</definedName>
    <definedName name="ñmañlv">#REF!</definedName>
    <definedName name="qzqzqz29">#REF!</definedName>
    <definedName name="gaby">#REF!</definedName>
    <definedName name="SSSSS">#REF!</definedName>
    <definedName name="data17">#REF!</definedName>
    <definedName name="VDISR">#REF!</definedName>
    <definedName name="ER_Milenia">#REF!</definedName>
    <definedName name="w540.">#REF!</definedName>
    <definedName name="data14">#REF!</definedName>
    <definedName name="TEST16">#REF!</definedName>
    <definedName name="Total_Metro_Sur">#REF!</definedName>
    <definedName name="POS">#REF!</definedName>
    <definedName name="Ventas_exp._por_cte._1">#REF!</definedName>
    <definedName name="trimestre">#REF!</definedName>
    <definedName name="_17_0Cafo">#REF!</definedName>
    <definedName name="IMPRESA">#REF!</definedName>
    <definedName name="Repomo">#REF!</definedName>
    <definedName name="Resultados">#REF!</definedName>
    <definedName name="Seguros">#REF!</definedName>
    <definedName name="ms">#REF!</definedName>
    <definedName name="P.P.IVA">#REF!</definedName>
    <definedName name="CECO1">#REF!</definedName>
    <definedName name="formato4">#REF!</definedName>
    <definedName name="MACRO1">#REF!</definedName>
    <definedName name="_2Bcer">#REF!</definedName>
    <definedName name="data5">#REF!</definedName>
    <definedName name="intsPPTO">#REF!</definedName>
    <definedName name="eR">#REF!</definedName>
    <definedName name="Vector_ums">#REF!</definedName>
    <definedName name="ZJ">#REF!</definedName>
    <definedName name="rango">#REF!</definedName>
    <definedName name="NOMBRE_EMPRESA">#REF!</definedName>
    <definedName name="CtrlF">#REF!</definedName>
    <definedName name="data50">#REF!</definedName>
    <definedName name="Ventas_nales._por_cte._dls1">#REF!</definedName>
    <definedName name="_452_0Boro">#REF!</definedName>
    <definedName name="TEST5">#REF!</definedName>
    <definedName name="Access">#REF!</definedName>
    <definedName name="Trans_guardadito">#REF!</definedName>
    <definedName name="CUST1">#REF!</definedName>
    <definedName name="_210_0Boro">#REF!</definedName>
    <definedName name="AA">#REF!</definedName>
    <definedName name="TEST6">#REF!</definedName>
    <definedName name="_8">#REF!</definedName>
    <definedName name="COMPENSACIONES">#REF!</definedName>
    <definedName name="CORP_2005">#REF!</definedName>
    <definedName name="VACIADO_DECLARACIONES">#REF!</definedName>
    <definedName name="SSSS">#REF!</definedName>
    <definedName name="_17">#REF!</definedName>
    <definedName name="erick">#REF!</definedName>
    <definedName name="Carátula">#REF!</definedName>
    <definedName name="ANIRHON">#REF!</definedName>
    <definedName name="ROLES">#REF!</definedName>
    <definedName name="_714_0Cons">#REF!</definedName>
    <definedName name="Cargos_diferidos1">#REF!</definedName>
    <definedName name="AREA_IMP_CONSvsPRES">#REF!</definedName>
    <definedName name="_648_0Cons">#REF!</definedName>
    <definedName name="NUEVAMEGA">#REF!</definedName>
    <definedName name="total">#REF!</definedName>
    <definedName name="_9">#REF!</definedName>
    <definedName name="HADT001">#REF!</definedName>
    <definedName name="_21_0Cons">#REF!</definedName>
    <definedName name="sdfs">#REF!</definedName>
    <definedName name="PRECIO_P40">#REF!</definedName>
    <definedName name="AÑO88">#REF!</definedName>
    <definedName name="ER_Autos">#REF!</definedName>
    <definedName name="tret">#REF!</definedName>
    <definedName name="_268_0Cafo">#REF!</definedName>
    <definedName name="TESTHKEY">#REF!</definedName>
    <definedName name="csder">#REF!</definedName>
    <definedName name="INTS">#REF!</definedName>
    <definedName name="ER_SYR">#REF!</definedName>
    <definedName name="Anexo2">#REF!</definedName>
    <definedName name="csSB_EDO_RES_PDCT_COMIS_2_Dim07">#REF!</definedName>
    <definedName name="VIEJABOD">#REF!</definedName>
    <definedName name="__11_0Cafo">#REF!</definedName>
    <definedName name="csSB_EDO_RES_GEO_2_Dim06">#REF!</definedName>
    <definedName name="DatosCol">#REF!</definedName>
    <definedName name="csSB_EDO_RES_PDCT_COMIS_2_Dim08">#REF!</definedName>
    <definedName name="FORECAST">#REF!</definedName>
    <definedName name="csSB_EDO_RES_GEO_CENTRAL_2_Dim05">#REF!</definedName>
    <definedName name="GTOFINANCIERO">#REF!</definedName>
    <definedName name="Prop_Pta_y_Equipo1">#REF!</definedName>
    <definedName name="yukhjk">#REF!</definedName>
    <definedName name="cco">#REF!</definedName>
    <definedName name="comsmes1">#REF!</definedName>
    <definedName name="_119_0Bcer">#REF!</definedName>
    <definedName name="HCV">#REF!</definedName>
    <definedName name="PRECIO_INSTALACION">#REF!</definedName>
    <definedName name="ANGASGEN">#REF!</definedName>
    <definedName name="TAREAS">#REF!</definedName>
    <definedName name="UTILI">#REF!</definedName>
    <definedName name="data54">#REF!</definedName>
    <definedName name="VAR_REG_">#REF!</definedName>
    <definedName name="AÑO81">#REF!</definedName>
    <definedName name="PROVISIONES">#REF!</definedName>
    <definedName name="_29">#REF!</definedName>
    <definedName name="CP">#REF!</definedName>
    <definedName name="Reporte4">#REF!</definedName>
    <definedName name="Total_Pacífico_Frontera">#REF!</definedName>
    <definedName name="IVAM">#REF!</definedName>
    <definedName name="Brasil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C72">
      <text>
        <t xml:space="preserve">PROMEDIO DE JULIO A OCTUBRE</t>
      </text>
    </comment>
  </commentList>
</comments>
</file>

<file path=xl/sharedStrings.xml><?xml version="1.0" encoding="utf-8"?>
<sst xmlns="http://schemas.openxmlformats.org/spreadsheetml/2006/main" count="626" uniqueCount="84">
  <si>
    <t>VARIACIONES FCST REALES A MARZO VS FCST REALES A FEBRERO</t>
  </si>
  <si>
    <t>CONTRIBUCIÓN NETA</t>
  </si>
  <si>
    <t>Unidad de Negocio</t>
  </si>
  <si>
    <t>Plan</t>
  </si>
  <si>
    <t>%</t>
  </si>
  <si>
    <t>Fcst       Reales a Feb</t>
  </si>
  <si>
    <t>Fcst       Reales a Mar</t>
  </si>
  <si>
    <t>Var Fcst Mar vs Fcst Feb</t>
  </si>
  <si>
    <t>Var Fcst Mar vs Plan</t>
  </si>
  <si>
    <t>Research Land</t>
  </si>
  <si>
    <t>Mkt United</t>
  </si>
  <si>
    <t>Troader</t>
  </si>
  <si>
    <t xml:space="preserve">Zeus </t>
  </si>
  <si>
    <t>Promo Espacio</t>
  </si>
  <si>
    <t>Mexa</t>
  </si>
  <si>
    <t>House Of Films</t>
  </si>
  <si>
    <t>Nera Code</t>
  </si>
  <si>
    <t>UiX</t>
  </si>
  <si>
    <t>Staff - ND</t>
  </si>
  <si>
    <t>Total</t>
  </si>
  <si>
    <t>MARKETING UNITED PRESUPUESTO 2026</t>
  </si>
  <si>
    <t>Real 2025</t>
  </si>
  <si>
    <t>Plan 2026</t>
  </si>
  <si>
    <t>Fcst 2026</t>
  </si>
  <si>
    <t>Conceptos</t>
  </si>
  <si>
    <t>Variaciones</t>
  </si>
  <si>
    <t>Fcst 2026 vs Plan 2026</t>
  </si>
  <si>
    <t>Fcst 2026 vs Real 2025</t>
  </si>
  <si>
    <t>Proyección</t>
  </si>
  <si>
    <t>$</t>
  </si>
  <si>
    <t>Ingresos Internos</t>
  </si>
  <si>
    <t>Ingresos Externos</t>
  </si>
  <si>
    <t>Total Ingresos</t>
  </si>
  <si>
    <t>Activaciones</t>
  </si>
  <si>
    <t>Comisiones</t>
  </si>
  <si>
    <t>A partir de marzo, considerar promedio de alcance de enero y febrero</t>
  </si>
  <si>
    <t>Participación Socios</t>
  </si>
  <si>
    <t>Costos Totales</t>
  </si>
  <si>
    <t>Contribución Bruta</t>
  </si>
  <si>
    <t>Personal</t>
  </si>
  <si>
    <t>A partir de marzo, se considera el mismo monto de febrero</t>
  </si>
  <si>
    <t>Operación</t>
  </si>
  <si>
    <t>Desde marzo queda igual que el plan en todos los meses</t>
  </si>
  <si>
    <t>Mercadotecnia</t>
  </si>
  <si>
    <t>Renta, Luz y Teléfono</t>
  </si>
  <si>
    <t>Gastos de despacho GS</t>
  </si>
  <si>
    <t>Costo de Activo</t>
  </si>
  <si>
    <t>Gastos Ventas</t>
  </si>
  <si>
    <t>Gastos Staff</t>
  </si>
  <si>
    <t>Total Gastos</t>
  </si>
  <si>
    <t>Contribución Neta $</t>
  </si>
  <si>
    <t>Contribución Neta</t>
  </si>
  <si>
    <t>% Margen</t>
  </si>
  <si>
    <t>Presupuesto 2026</t>
  </si>
  <si>
    <t>Plan 2025</t>
  </si>
  <si>
    <t>MARKETING UNITED + TROADER REAL 2024</t>
  </si>
  <si>
    <t>MARKETING UNITED + TROADER REAL 2025</t>
  </si>
  <si>
    <t>MARKETING UNITED + TROADER PRESUPUESTO 2026</t>
  </si>
  <si>
    <t>MARKETING UNITED + TROADER FORECAST 2026</t>
  </si>
  <si>
    <t>MARKETING UNITED + TROADER</t>
  </si>
  <si>
    <t>Fcst 2026 vs Ppto 2026</t>
  </si>
  <si>
    <t>Real 2024</t>
  </si>
  <si>
    <t>Forecast 2026</t>
  </si>
  <si>
    <t>Costo</t>
  </si>
  <si>
    <t>Costo de nube</t>
  </si>
  <si>
    <t>Desarrollo de software</t>
  </si>
  <si>
    <t>Gastos UX/UI</t>
  </si>
  <si>
    <t>Mantenimiento de software</t>
  </si>
  <si>
    <t>Staff sistemas</t>
  </si>
  <si>
    <t>CHECK</t>
  </si>
  <si>
    <t>MARKETING UNITED REAL 2024</t>
  </si>
  <si>
    <t>MARKETING UNITED REAL 2025</t>
  </si>
  <si>
    <t>MARKETING UNITED FORECAST 2026</t>
  </si>
  <si>
    <t>TROADER REAL 2024</t>
  </si>
  <si>
    <t>TROADER REAL 2025</t>
  </si>
  <si>
    <t>TROADER PRESUPUESTO 2026</t>
  </si>
  <si>
    <t>TROADER FORECAST 2026</t>
  </si>
  <si>
    <t>original</t>
  </si>
  <si>
    <t>GASTOS DE STAFF PRESUPUESTO 2026</t>
  </si>
  <si>
    <t>Costo de Nube</t>
  </si>
  <si>
    <t>Desarrollo de Software</t>
  </si>
  <si>
    <t>Mantenimiento de Software</t>
  </si>
  <si>
    <t>Staff Sistemas</t>
  </si>
  <si>
    <t>GASTO DE VENTAS PRESUPUESTO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</si>
</sst>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0.0%"/>
    <numFmt numFmtId="165" formatCode="_(* #,##0.0_);[Red]_(* \(#,##0.0\);_(* &quot;-&quot;??_);_(@_)"/>
    <numFmt numFmtId="166" formatCode="_-* #,##0.0_-;\-* #,##0.0_-;_-* &quot;-&quot;??_-;_-@"/>
    <numFmt numFmtId="167" formatCode="_-* #,##0_-;\-* #,##0_-;_-* &quot;-&quot;??_-;_-@"/>
    <numFmt numFmtId="168" formatCode="_-* #,##0.00_-;\-* #,##0.00_-;_-* &quot;-&quot;??_-;_-@"/>
    <numFmt numFmtId="169" formatCode="mmm"/>
    <numFmt numFmtId="170" formatCode="#,##0%;[Red]\(#,##0%\)"/>
    <numFmt numFmtId="171" formatCode="0%;[Red]\(0%\)"/>
    <numFmt numFmtId="172" formatCode="#,##0.0%;[Red]\(#,##0.0%\)"/>
    <numFmt numFmtId="173" formatCode="0.0%;[Red]\(0.0%\)"/>
    <numFmt numFmtId="174" formatCode="_-* #,##0.0_-;\-* #,##0.0_-;_-* &quot;-&quot;?_-;_-@"/>
  </numFmts>
  <fonts count="17">
    <font>
      <sz val="11.0"/>
      <color/>
      <name val="Arial"/>
      <scheme val="minor"/>
    </font>
    <font>
      <sz val="11.0"/>
      <color/>
      <name val="Aptos Narrow"/>
    </font>
    <font>
      <b/>
      <sz val="22.0"/>
      <color rgb="FFFFC000"/>
      <name val="Aptos Narrow"/>
    </font>
    <font>
      <b/>
      <sz val="16.0"/>
      <color rgb="FFFFC000"/>
      <name val="Aptos Narrow"/>
    </font>
    <font>
      <b/>
      <sz val="12.0"/>
      <color/>
      <name val="Aptos Narrow"/>
    </font>
    <font>
      <b/>
      <sz val="11.0"/>
      <color/>
      <name val="Aptos Narrow"/>
    </font>
    <font>
      <sz val="10.0"/>
      <color/>
      <name val="Aptos Narrow"/>
    </font>
    <font>
      <sz val="10.0"/>
      <color rgb="FFF2F2F2"/>
      <name val="Aptos Narrow"/>
    </font>
    <font>
      <b/>
      <sz val="11.0"/>
      <color/>
      <name val="Arial"/>
    </font>
    <font/>
    <font>
      <b/>
      <sz val="11.0"/>
      <name val="Arial"/>
    </font>
    <font>
      <sz val="10.0"/>
      <name val="Aptos Narrow"/>
    </font>
    <font>
      <b/>
      <sz val="16.0"/>
      <color/>
      <name val="Aptos Narrow"/>
    </font>
    <font>
      <sz val="11.0"/>
      <name val="Aptos Narrow"/>
    </font>
    <font>
      <b/>
      <sz val="11.0"/>
      <name val="Aptos Narrow"/>
    </font>
    <font>
      <b/>
      <sz val="10.0"/>
      <color/>
      <name val="Aptos Narrow"/>
    </font>
    <font>
      <sz val="11.0"/>
      <color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  <fill>
      <patternFill patternType="solid">
        <fgColor rgb="FFFFC000"/>
        <bgColor rgb="FFFFC000"/>
      </patternFill>
    </fill>
    <fill>
      <patternFill patternType="solid">
        <fgColor rgb="FFF2F2F2"/>
        <bgColor rgb="FFF2F2F2"/>
      </patternFill>
    </fill>
    <fill>
      <patternFill patternType="solid">
        <fgColor rgb="FFC5E0B3"/>
        <bgColor rgb="FFC5E0B3"/>
      </patternFill>
    </fill>
    <fill>
      <patternFill patternType="solid">
        <fgColor rgb="FFA8D08D"/>
        <bgColor rgb="FFA8D08D"/>
      </patternFill>
    </fill>
    <fill>
      <patternFill patternType="solid">
        <fgColor rgb="FFFFFF00"/>
        <bgColor rgb="FFFFFF00"/>
      </patternFill>
    </fill>
  </fills>
  <borders count="23">
    <border/>
    <border>
      <left/>
      <right/>
      <top/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/>
    </border>
    <border>
      <right style="thin">
        <color rgb="FF000000"/>
      </right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164" xfId="0" applyFont="1" applyNumberFormat="1"/>
    <xf borderId="0" fillId="0" fontId="3" numFmtId="0" xfId="0" applyFont="1"/>
    <xf borderId="0" fillId="0" fontId="3" numFmtId="164" xfId="0" applyFont="1" applyNumberFormat="1"/>
    <xf borderId="1" fillId="2" fontId="4" numFmtId="0" xfId="0" applyAlignment="1" applyBorder="1" applyFill="1" applyFont="1">
      <alignment horizontal="center" vertical="center"/>
    </xf>
    <xf borderId="1" fillId="2" fontId="4" numFmtId="0" xfId="0" applyAlignment="1" applyBorder="1" applyFont="1">
      <alignment horizontal="center" shrinkToFit="0" vertical="center" wrapText="1"/>
    </xf>
    <xf borderId="1" fillId="2" fontId="4" numFmtId="164" xfId="0" applyAlignment="1" applyBorder="1" applyFont="1" applyNumberFormat="1">
      <alignment horizontal="center" vertical="center"/>
    </xf>
    <xf borderId="1" fillId="3" fontId="4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horizontal="left"/>
    </xf>
    <xf borderId="0" fillId="0" fontId="1" numFmtId="165" xfId="0" applyFont="1" applyNumberFormat="1"/>
    <xf borderId="0" fillId="0" fontId="1" numFmtId="9" xfId="0" applyFont="1" applyNumberFormat="1"/>
    <xf borderId="1" fillId="4" fontId="5" numFmtId="0" xfId="0" applyAlignment="1" applyBorder="1" applyFill="1" applyFont="1">
      <alignment horizontal="left"/>
    </xf>
    <xf borderId="1" fillId="4" fontId="1" numFmtId="165" xfId="0" applyBorder="1" applyFont="1" applyNumberFormat="1"/>
    <xf borderId="1" fillId="4" fontId="1" numFmtId="9" xfId="0" applyBorder="1" applyFont="1" applyNumberFormat="1"/>
    <xf borderId="1" fillId="4" fontId="1" numFmtId="164" xfId="0" applyBorder="1" applyFont="1" applyNumberFormat="1"/>
    <xf borderId="1" fillId="2" fontId="5" numFmtId="0" xfId="0" applyAlignment="1" applyBorder="1" applyFont="1">
      <alignment horizontal="left"/>
    </xf>
    <xf borderId="1" fillId="2" fontId="5" numFmtId="166" xfId="0" applyBorder="1" applyFont="1" applyNumberFormat="1"/>
    <xf borderId="1" fillId="2" fontId="5" numFmtId="164" xfId="0" applyBorder="1" applyFont="1" applyNumberFormat="1"/>
    <xf borderId="1" fillId="3" fontId="5" numFmtId="166" xfId="0" applyBorder="1" applyFont="1" applyNumberFormat="1"/>
    <xf borderId="1" fillId="3" fontId="5" numFmtId="165" xfId="0" applyBorder="1" applyFont="1" applyNumberFormat="1"/>
    <xf borderId="0" fillId="0" fontId="1" numFmtId="167" xfId="0" applyFont="1" applyNumberFormat="1"/>
    <xf borderId="0" fillId="0" fontId="1" numFmtId="168" xfId="0" applyFont="1" applyNumberFormat="1"/>
    <xf borderId="0" fillId="0" fontId="6" numFmtId="0" xfId="0" applyFont="1"/>
    <xf borderId="0" fillId="0" fontId="6" numFmtId="0" xfId="0" applyFont="1"/>
    <xf borderId="0" fillId="0" fontId="7" numFmtId="0" xfId="0" applyFont="1"/>
    <xf borderId="2" fillId="0" fontId="8" numFmtId="0" xfId="0" applyAlignment="1" applyBorder="1" applyFont="1">
      <alignment horizontal="center" shrinkToFit="0" vertical="center" wrapText="1"/>
    </xf>
    <xf borderId="3" fillId="0" fontId="9" numFmtId="0" xfId="0" applyBorder="1" applyFont="1"/>
    <xf borderId="2" fillId="2" fontId="8" numFmtId="0" xfId="0" applyAlignment="1" applyBorder="1" applyFont="1">
      <alignment horizontal="center" shrinkToFit="0" vertical="center" wrapText="1"/>
    </xf>
    <xf borderId="4" fillId="0" fontId="10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center"/>
    </xf>
    <xf borderId="5" fillId="0" fontId="9" numFmtId="0" xfId="0" applyBorder="1" applyFont="1"/>
    <xf borderId="6" fillId="0" fontId="9" numFmtId="0" xfId="0" applyBorder="1" applyFont="1"/>
    <xf borderId="0" fillId="0" fontId="11" numFmtId="0" xfId="0" applyFont="1"/>
    <xf borderId="7" fillId="0" fontId="9" numFmtId="0" xfId="0" applyBorder="1" applyFont="1"/>
    <xf borderId="8" fillId="0" fontId="9" numFmtId="0" xfId="0" applyBorder="1" applyFont="1"/>
    <xf borderId="9" fillId="0" fontId="9" numFmtId="0" xfId="0" applyBorder="1" applyFont="1"/>
    <xf borderId="10" fillId="0" fontId="9" numFmtId="0" xfId="0" applyBorder="1" applyFont="1"/>
    <xf borderId="11" fillId="0" fontId="9" numFmtId="0" xfId="0" applyBorder="1" applyFont="1"/>
    <xf borderId="0" fillId="0" fontId="1" numFmtId="0" xfId="0" applyAlignment="1" applyFont="1">
      <alignment horizontal="center"/>
    </xf>
    <xf borderId="1" fillId="5" fontId="12" numFmtId="0" xfId="0" applyAlignment="1" applyBorder="1" applyFill="1" applyFont="1">
      <alignment horizontal="center" shrinkToFit="0" vertical="center" wrapText="1"/>
    </xf>
    <xf borderId="1" fillId="5" fontId="4" numFmtId="169" xfId="0" applyAlignment="1" applyBorder="1" applyFont="1" applyNumberFormat="1">
      <alignment horizontal="center"/>
    </xf>
    <xf borderId="1" fillId="6" fontId="4" numFmtId="169" xfId="0" applyAlignment="1" applyBorder="1" applyFill="1" applyFont="1" applyNumberFormat="1">
      <alignment horizontal="center"/>
    </xf>
    <xf borderId="1" fillId="6" fontId="4" numFmtId="0" xfId="0" applyAlignment="1" applyBorder="1" applyFont="1">
      <alignment horizontal="center"/>
    </xf>
    <xf borderId="12" fillId="0" fontId="8" numFmtId="0" xfId="0" applyAlignment="1" applyBorder="1" applyFont="1">
      <alignment horizontal="center"/>
    </xf>
    <xf borderId="13" fillId="0" fontId="8" numFmtId="0" xfId="0" applyAlignment="1" applyBorder="1" applyFont="1">
      <alignment horizontal="center"/>
    </xf>
    <xf borderId="14" fillId="2" fontId="8" numFmtId="0" xfId="0" applyAlignment="1" applyBorder="1" applyFont="1">
      <alignment horizontal="center"/>
    </xf>
    <xf borderId="15" fillId="2" fontId="8" numFmtId="0" xfId="0" applyAlignment="1" applyBorder="1" applyFont="1">
      <alignment horizontal="center"/>
    </xf>
    <xf borderId="16" fillId="0" fontId="10" numFmtId="0" xfId="0" applyAlignment="1" applyBorder="1" applyFont="1">
      <alignment horizontal="center"/>
    </xf>
    <xf borderId="0" fillId="0" fontId="6" numFmtId="0" xfId="0" applyAlignment="1" applyFont="1">
      <alignment horizontal="left"/>
    </xf>
    <xf borderId="0" fillId="0" fontId="6" numFmtId="165" xfId="0" applyFont="1" applyNumberFormat="1"/>
    <xf borderId="0" fillId="0" fontId="6" numFmtId="168" xfId="0" applyFont="1" applyNumberFormat="1"/>
    <xf borderId="7" fillId="0" fontId="13" numFmtId="165" xfId="0" applyBorder="1" applyFont="1" applyNumberFormat="1"/>
    <xf borderId="8" fillId="0" fontId="1" numFmtId="170" xfId="0" applyBorder="1" applyFont="1" applyNumberFormat="1"/>
    <xf borderId="17" fillId="2" fontId="1" numFmtId="165" xfId="0" applyBorder="1" applyFont="1" applyNumberFormat="1"/>
    <xf borderId="18" fillId="2" fontId="1" numFmtId="170" xfId="0" applyBorder="1" applyFont="1" applyNumberFormat="1"/>
    <xf borderId="0" fillId="0" fontId="13" numFmtId="0" xfId="0" applyAlignment="1" applyFont="1">
      <alignment horizontal="left"/>
    </xf>
    <xf borderId="7" fillId="0" fontId="1" numFmtId="165" xfId="0" applyBorder="1" applyFont="1" applyNumberFormat="1"/>
    <xf borderId="1" fillId="4" fontId="4" numFmtId="170" xfId="0" applyBorder="1" applyFont="1" applyNumberFormat="1"/>
    <xf borderId="1" fillId="4" fontId="4" numFmtId="165" xfId="0" applyBorder="1" applyFont="1" applyNumberFormat="1"/>
    <xf borderId="7" fillId="0" fontId="14" numFmtId="165" xfId="0" applyBorder="1" applyFont="1" applyNumberFormat="1"/>
    <xf borderId="8" fillId="0" fontId="5" numFmtId="170" xfId="0" applyBorder="1" applyFont="1" applyNumberFormat="1"/>
    <xf borderId="17" fillId="2" fontId="5" numFmtId="165" xfId="0" applyBorder="1" applyFont="1" applyNumberFormat="1"/>
    <xf borderId="18" fillId="2" fontId="5" numFmtId="170" xfId="0" applyBorder="1" applyFont="1" applyNumberFormat="1"/>
    <xf borderId="0" fillId="0" fontId="14" numFmtId="0" xfId="0" applyAlignment="1" applyFont="1">
      <alignment horizontal="left"/>
    </xf>
    <xf borderId="7" fillId="0" fontId="5" numFmtId="165" xfId="0" applyBorder="1" applyFont="1" applyNumberFormat="1"/>
    <xf borderId="0" fillId="0" fontId="6" numFmtId="9" xfId="0" applyFont="1" applyNumberFormat="1"/>
    <xf borderId="0" fillId="0" fontId="11" numFmtId="0" xfId="0" applyAlignment="1" applyFont="1">
      <alignment horizontal="left"/>
    </xf>
    <xf borderId="0" fillId="0" fontId="6" numFmtId="164" xfId="0" applyFont="1" applyNumberFormat="1"/>
    <xf borderId="0" fillId="0" fontId="15" numFmtId="0" xfId="0" applyFont="1"/>
    <xf borderId="0" fillId="0" fontId="5" numFmtId="165" xfId="0" applyFont="1" applyNumberFormat="1"/>
    <xf borderId="7" fillId="0" fontId="5" numFmtId="165" xfId="0" applyAlignment="1" applyBorder="1" applyFont="1" applyNumberFormat="1">
      <alignment horizontal="right"/>
    </xf>
    <xf borderId="19" fillId="4" fontId="5" numFmtId="165" xfId="0" applyBorder="1" applyFont="1" applyNumberFormat="1"/>
    <xf borderId="20" fillId="4" fontId="5" numFmtId="170" xfId="0" applyBorder="1" applyFont="1" applyNumberFormat="1"/>
    <xf borderId="21" fillId="4" fontId="14" numFmtId="0" xfId="0" applyAlignment="1" applyBorder="1" applyFont="1">
      <alignment horizontal="left"/>
    </xf>
    <xf borderId="21" fillId="4" fontId="5" numFmtId="170" xfId="0" applyBorder="1" applyFont="1" applyNumberFormat="1"/>
    <xf borderId="1" fillId="5" fontId="4" numFmtId="170" xfId="0" applyBorder="1" applyFont="1" applyNumberFormat="1"/>
    <xf borderId="1" fillId="5" fontId="4" numFmtId="165" xfId="0" applyBorder="1" applyFont="1" applyNumberFormat="1"/>
    <xf borderId="1" fillId="6" fontId="4" numFmtId="165" xfId="0" applyBorder="1" applyFont="1" applyNumberFormat="1"/>
    <xf borderId="19" fillId="2" fontId="5" numFmtId="165" xfId="0" applyBorder="1" applyFont="1" applyNumberFormat="1"/>
    <xf borderId="20" fillId="2" fontId="5" numFmtId="9" xfId="0" applyBorder="1" applyFont="1" applyNumberFormat="1"/>
    <xf borderId="20" fillId="2" fontId="5" numFmtId="170" xfId="0" applyBorder="1" applyFont="1" applyNumberFormat="1"/>
    <xf borderId="14" fillId="2" fontId="5" numFmtId="165" xfId="0" applyBorder="1" applyFont="1" applyNumberFormat="1"/>
    <xf borderId="15" fillId="2" fontId="5" numFmtId="170" xfId="0" applyBorder="1" applyFont="1" applyNumberFormat="1"/>
    <xf borderId="21" fillId="2" fontId="14" numFmtId="0" xfId="0" applyAlignment="1" applyBorder="1" applyFont="1">
      <alignment horizontal="left"/>
    </xf>
    <xf borderId="0" fillId="0" fontId="4" numFmtId="170" xfId="0" applyFont="1" applyNumberFormat="1"/>
    <xf borderId="0" fillId="0" fontId="4" numFmtId="165" xfId="0" applyFont="1" applyNumberFormat="1"/>
    <xf borderId="1" fillId="4" fontId="4" numFmtId="171" xfId="0" applyBorder="1" applyFont="1" applyNumberFormat="1"/>
    <xf borderId="1" fillId="2" fontId="12" numFmtId="0" xfId="0" applyAlignment="1" applyBorder="1" applyFont="1">
      <alignment horizontal="center" shrinkToFit="0" vertical="center" wrapText="1"/>
    </xf>
    <xf borderId="1" fillId="2" fontId="4" numFmtId="169" xfId="0" applyAlignment="1" applyBorder="1" applyFont="1" applyNumberFormat="1">
      <alignment horizontal="center"/>
    </xf>
    <xf borderId="1" fillId="2" fontId="4" numFmtId="0" xfId="0" applyAlignment="1" applyBorder="1" applyFont="1">
      <alignment horizontal="center"/>
    </xf>
    <xf borderId="0" fillId="0" fontId="6" numFmtId="9" xfId="0" applyFont="1" applyNumberFormat="1"/>
    <xf borderId="0" fillId="0" fontId="6" numFmtId="165" xfId="0" applyFont="1" applyNumberFormat="1"/>
    <xf borderId="0" fillId="0" fontId="6" numFmtId="168" xfId="0" applyFont="1" applyNumberFormat="1"/>
    <xf borderId="1" fillId="2" fontId="4" numFmtId="170" xfId="0" applyBorder="1" applyFont="1" applyNumberFormat="1"/>
    <xf borderId="1" fillId="2" fontId="4" numFmtId="165" xfId="0" applyBorder="1" applyFont="1" applyNumberFormat="1"/>
    <xf borderId="1" fillId="4" fontId="12" numFmtId="0" xfId="0" applyAlignment="1" applyBorder="1" applyFont="1">
      <alignment horizontal="center" shrinkToFit="0" vertical="center" wrapText="1"/>
    </xf>
    <xf borderId="1" fillId="4" fontId="4" numFmtId="169" xfId="0" applyAlignment="1" applyBorder="1" applyFont="1" applyNumberFormat="1">
      <alignment horizontal="center"/>
    </xf>
    <xf borderId="1" fillId="4" fontId="4" numFmtId="0" xfId="0" applyAlignment="1" applyBorder="1" applyFont="1">
      <alignment horizontal="center"/>
    </xf>
    <xf borderId="0" fillId="0" fontId="12" numFmtId="0" xfId="0" applyAlignment="1" applyFont="1">
      <alignment horizontal="center" shrinkToFit="0" vertical="center" wrapText="1"/>
    </xf>
    <xf borderId="0" fillId="0" fontId="4" numFmtId="169" xfId="0" applyAlignment="1" applyFont="1" applyNumberFormat="1">
      <alignment horizontal="center"/>
    </xf>
    <xf borderId="0" fillId="0" fontId="4" numFmtId="0" xfId="0" applyAlignment="1" applyFont="1">
      <alignment horizontal="center"/>
    </xf>
    <xf borderId="1" fillId="7" fontId="6" numFmtId="9" xfId="0" applyBorder="1" applyFill="1" applyFont="1" applyNumberFormat="1"/>
    <xf borderId="22" fillId="0" fontId="8" numFmtId="0" xfId="0" applyAlignment="1" applyBorder="1" applyFont="1">
      <alignment horizontal="center"/>
    </xf>
    <xf borderId="20" fillId="2" fontId="5" numFmtId="172" xfId="0" applyBorder="1" applyFont="1" applyNumberFormat="1"/>
    <xf borderId="15" fillId="2" fontId="5" numFmtId="172" xfId="0" applyBorder="1" applyFont="1" applyNumberFormat="1"/>
    <xf borderId="0" fillId="0" fontId="16" numFmtId="168" xfId="0" applyFont="1" applyNumberFormat="1"/>
    <xf borderId="0" fillId="0" fontId="16" numFmtId="166" xfId="0" applyFont="1" applyNumberFormat="1"/>
    <xf borderId="1" fillId="5" fontId="12" numFmtId="0" xfId="0" applyAlignment="1" applyBorder="1" applyFont="1">
      <alignment horizontal="center" vertical="center"/>
    </xf>
    <xf borderId="1" fillId="3" fontId="6" numFmtId="165" xfId="0" applyBorder="1" applyFont="1" applyNumberFormat="1"/>
    <xf borderId="1" fillId="4" fontId="4" numFmtId="173" xfId="0" applyBorder="1" applyFont="1" applyNumberFormat="1"/>
    <xf borderId="7" fillId="0" fontId="8" numFmtId="0" xfId="0" applyAlignment="1" applyBorder="1" applyFont="1">
      <alignment horizontal="center"/>
    </xf>
    <xf borderId="8" fillId="0" fontId="8" numFmtId="0" xfId="0" applyAlignment="1" applyBorder="1" applyFont="1">
      <alignment horizontal="center"/>
    </xf>
    <xf borderId="2" fillId="0" fontId="13" numFmtId="165" xfId="0" applyBorder="1" applyFont="1" applyNumberFormat="1"/>
    <xf borderId="3" fillId="0" fontId="1" numFmtId="170" xfId="0" applyBorder="1" applyFont="1" applyNumberFormat="1"/>
    <xf borderId="0" fillId="0" fontId="13" numFmtId="165" xfId="0" applyFont="1" applyNumberFormat="1"/>
    <xf borderId="0" fillId="0" fontId="14" numFmtId="165" xfId="0" applyFont="1" applyNumberFormat="1"/>
    <xf borderId="0" fillId="0" fontId="16" numFmtId="167" xfId="0" applyFont="1" applyNumberFormat="1"/>
    <xf borderId="0" fillId="0" fontId="5" numFmtId="170" xfId="0" applyAlignment="1" applyFont="1" applyNumberFormat="1">
      <alignment horizontal="left"/>
    </xf>
    <xf borderId="12" fillId="0" fontId="5" numFmtId="165" xfId="0" applyAlignment="1" applyBorder="1" applyFont="1" applyNumberFormat="1">
      <alignment horizontal="right"/>
    </xf>
    <xf borderId="13" fillId="0" fontId="5" numFmtId="170" xfId="0" applyBorder="1" applyFont="1" applyNumberFormat="1"/>
    <xf borderId="0" fillId="0" fontId="5" numFmtId="165" xfId="0" applyAlignment="1" applyFont="1" applyNumberFormat="1">
      <alignment horizontal="right"/>
    </xf>
    <xf borderId="14" fillId="4" fontId="5" numFmtId="165" xfId="0" applyBorder="1" applyFont="1" applyNumberFormat="1"/>
    <xf borderId="15" fillId="4" fontId="5" numFmtId="170" xfId="0" applyBorder="1" applyFont="1" applyNumberFormat="1"/>
    <xf borderId="8" fillId="0" fontId="1" numFmtId="170" xfId="0" applyAlignment="1" applyBorder="1" applyFont="1" applyNumberFormat="1">
      <alignment horizontal="right"/>
    </xf>
    <xf borderId="0" fillId="0" fontId="16" numFmtId="174" xfId="0" applyFont="1" applyNumberFormat="1"/>
    <xf borderId="0" fillId="0" fontId="16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externalLink" Target="externalLinks/externalLink3.xml"/><Relationship Id="rId10" Type="http://schemas.openxmlformats.org/officeDocument/2006/relationships/externalLink" Target="externalLinks/externalLink2.xml"/><Relationship Id="rId13" Type="http://schemas.openxmlformats.org/officeDocument/2006/relationships/externalLink" Target="externalLinks/externalLink5.xml"/><Relationship Id="rId12" Type="http://schemas.openxmlformats.org/officeDocument/2006/relationships/externalLink" Target="externalLinks/externalLink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E:/Users/1042666/OneDrive%20-%20Onuris%20Tenant/Documentos/UPAX/2026/Forecast%202026/Mkt%20United/Mkt%20United%20+%20Troader%202026%20Versi&#243;n%20Paty%2006.05.xlsx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onuris-my.sharepoint.com/personal/1042666_onuriscp_com/Documents/Documentos/UPAX/2025/Presupuesto%202026/Staff%202026/HC%20Staff%20-%20Levantamiento%202025.xlsx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onuris-my.sharepoint.com/personal/1042666_onuriscp_com/Documents/Documentos/UPAX/2025/Presupuesto%202026/Staff%202026/Nueva%20Distribuci&#243;n%2002.26.xlsx" TargetMode="External"/></Relationships>
</file>

<file path=xl/externalLinks/_rels/externalLink4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onuris-my.sharepoint.com/personal/1042666_onuriscp_com/Documents/Documentos/UPAX/2025/Presupuesto%202026/Presupuesto%20Versiones/Presupuesto%202026%20-%20V7%2012.02.26%20(ReDistribuci&#243;n).xlsx" TargetMode="External"/></Relationships>
</file>

<file path=xl/externalLinks/_rels/externalLink5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onuris-my.sharepoint.com/personal/1042666_onuriscp_com/Documents/Documentos/UPAX/2025/Presupuesto%202026/UY/Presupuesto%20La%20F&#225;brica_v4%2014.01.26.xlsx" TargetMode="External"/></Relationships>
</file>

<file path=xl/externalLinks/_rels/externalLink6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onuris-my.sharepoint.com/personal/1042666_onuriscp_com/Documents/Documentos/UPAX/2025/Presupuesto%202026/UY/Presupuesto%20La%20F&#225;brica_v5%2020.02.26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FCST TROADER 26"/>
      <sheetName val="FCST MKT UNITED 26"/>
      <sheetName val="Fcst Consolidado"/>
      <sheetName val="Consolidado"/>
      <sheetName val="Integrador MU + Tro"/>
      <sheetName val="Real 2026 MU + Tro"/>
      <sheetName val="Gasto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HC staff"/>
      <sheetName val="Resumen Levantamiento"/>
      <sheetName val="Gto de Staff + Comparativo"/>
      <sheetName val="Dispersión Gto de Staff"/>
      <sheetName val="Cálculos Propuestas"/>
      <sheetName val="Propuestas Fcst"/>
      <sheetName val="Hoja2"/>
      <sheetName val="Staff 25 vs 26"/>
      <sheetName val="Resumen Reducciones"/>
      <sheetName val="Ajuste en Personal"/>
      <sheetName val="Propuestas"/>
      <sheetName val="Propuestas +5%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taff 2026 Reducciones"/>
      <sheetName val="Ajuste x UN"/>
      <sheetName val="Gto Personal Staff"/>
      <sheetName val="Final x UN"/>
      <sheetName val="Final Staff Consolidado"/>
      <sheetName val="Nera Code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UN 2023"/>
      <sheetName val="UPAX Integrador 25"/>
      <sheetName val="Nva Inv Sistemas"/>
      <sheetName val="Renta 25"/>
      <sheetName val="UPAX 2026 Sin + Salud"/>
      <sheetName val="UPAX Integrador 26 Comparativo"/>
      <sheetName val="UPAX Análisis Ajuste Tableau"/>
      <sheetName val="UPAX Integrador 26 Sin +Salud"/>
      <sheetName val="RESEARCH LAND 26"/>
      <sheetName val="RESEARCH 26"/>
      <sheetName val="LANDERS 26"/>
      <sheetName val="MKT UNITED 26"/>
      <sheetName val="TROADER 26"/>
      <sheetName val="ZEUS 26"/>
      <sheetName val="ZEUS Integrador"/>
      <sheetName val="RECLUTALIA 26"/>
      <sheetName val="RECLUTALIA int"/>
      <sheetName val="PROMO ESPACIO 26"/>
      <sheetName val="MEXA 26"/>
      <sheetName val="HOF 26"/>
      <sheetName val="PLUSUAN 26"/>
      <sheetName val="NERA CODE 26"/>
      <sheetName val="NERA CODE int"/>
      <sheetName val="APP ITK 26"/>
      <sheetName val="COMPENSALIA 26"/>
      <sheetName val="STAFFING 26"/>
      <sheetName val="OTROS PROYECTOS 26"/>
      <sheetName val="DESPIDALIA 26"/>
      <sheetName val="AFILIACIÓN ÚNICA 26"/>
      <sheetName val="PRESTA PRENDA 26"/>
      <sheetName val="CH ZEUS 26"/>
      <sheetName val="RED GPO EKT 26"/>
      <sheetName val="RECLUTALIA INT 26"/>
      <sheetName val="ZEUS MIGRACIÓN 26"/>
      <sheetName val="ZEUS COBRABLES 26"/>
      <sheetName val="UX|UI 2026"/>
      <sheetName val="PROYECTO S 26"/>
      <sheetName val="MÁS SALUD Mensual"/>
      <sheetName val="Proyecto S Integrador 25"/>
      <sheetName val="Staff 26"/>
      <sheetName val="Ventas 26"/>
      <sheetName val="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Hoja1"/>
    </sheetNames>
    <sheetDataSet>
      <sheetData sheetId="0"/>
    </sheetDataSet>
  </externalBook>
</externalLink>
</file>

<file path=xl/externalLinks/externalLink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FDS"/>
      <sheetName val="FDS Sur"/>
      <sheetName val="JDC Mensual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2013 - Tema de 2022">
  <a:themeElements>
    <a:clrScheme name="Office 2013 - 2022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.86"/>
    <col customWidth="1" min="2" max="2" width="23.86"/>
    <col customWidth="1" min="3" max="3" width="11.43"/>
    <col customWidth="1" min="4" max="4" width="6.14"/>
    <col customWidth="1" min="5" max="5" width="1.71"/>
    <col customWidth="1" min="6" max="6" width="12.86"/>
    <col customWidth="1" min="7" max="7" width="10.14"/>
    <col customWidth="1" min="8" max="8" width="13.29"/>
    <col customWidth="1" min="9" max="9" width="6.14"/>
    <col customWidth="1" min="10" max="10" width="1.14"/>
    <col customWidth="1" min="11" max="11" width="13.0"/>
    <col customWidth="1" min="12" max="12" width="1.14"/>
    <col customWidth="1" min="13" max="13" width="12.14"/>
  </cols>
  <sheetData>
    <row r="1">
      <c r="A1" s="1"/>
      <c r="B1" s="2" t="s">
        <v>0</v>
      </c>
      <c r="C1" s="1"/>
      <c r="D1" s="1"/>
      <c r="E1" s="1"/>
      <c r="F1" s="1"/>
      <c r="G1" s="3"/>
      <c r="H1" s="1"/>
      <c r="I1" s="3"/>
      <c r="J1" s="1"/>
      <c r="K1" s="1"/>
      <c r="L1" s="1"/>
      <c r="M1" s="1"/>
    </row>
    <row r="2">
      <c r="A2" s="1"/>
      <c r="B2" s="1"/>
      <c r="C2" s="1"/>
      <c r="D2" s="1"/>
      <c r="E2" s="1"/>
      <c r="F2" s="1"/>
      <c r="G2" s="3"/>
      <c r="H2" s="1"/>
      <c r="I2" s="3"/>
      <c r="J2" s="1"/>
      <c r="K2" s="1"/>
      <c r="L2" s="1"/>
      <c r="M2" s="1"/>
    </row>
    <row r="3">
      <c r="A3" s="1"/>
      <c r="B3" s="4" t="s">
        <v>1</v>
      </c>
      <c r="C3" s="1"/>
      <c r="D3" s="1"/>
      <c r="E3" s="1"/>
      <c r="F3" s="4"/>
      <c r="G3" s="5"/>
      <c r="H3" s="1"/>
      <c r="I3" s="3"/>
      <c r="J3" s="1"/>
      <c r="K3" s="1"/>
      <c r="L3" s="1"/>
      <c r="M3" s="1"/>
    </row>
    <row r="4">
      <c r="A4" s="1"/>
      <c r="B4" s="1"/>
      <c r="C4" s="1"/>
      <c r="D4" s="1"/>
      <c r="E4" s="1"/>
      <c r="F4" s="1"/>
      <c r="G4" s="3"/>
      <c r="H4" s="1"/>
      <c r="I4" s="3"/>
      <c r="J4" s="1"/>
      <c r="K4" s="1"/>
      <c r="L4" s="1"/>
      <c r="M4" s="1"/>
    </row>
    <row r="5" ht="33.75" customHeight="1">
      <c r="A5" s="1"/>
      <c r="B5" s="6" t="s">
        <v>2</v>
      </c>
      <c r="C5" s="6" t="s">
        <v>3</v>
      </c>
      <c r="D5" s="6" t="s">
        <v>4</v>
      </c>
      <c r="E5" s="1"/>
      <c r="F5" s="7" t="s">
        <v>5</v>
      </c>
      <c r="G5" s="8" t="s">
        <v>4</v>
      </c>
      <c r="H5" s="7" t="s">
        <v>6</v>
      </c>
      <c r="I5" s="6" t="s">
        <v>4</v>
      </c>
      <c r="J5" s="1"/>
      <c r="K5" s="9" t="s">
        <v>7</v>
      </c>
      <c r="L5" s="1"/>
      <c r="M5" s="9" t="s">
        <v>8</v>
      </c>
    </row>
    <row r="6" ht="23.25" customHeight="1">
      <c r="A6" s="1"/>
      <c r="B6" s="10" t="s">
        <v>9</v>
      </c>
      <c r="C6" s="11" t="str">
        <f>+#REF!</f>
        <v>#REF!</v>
      </c>
      <c r="D6" s="12">
        <v>0.2532868912140709</v>
      </c>
      <c r="E6" s="1"/>
      <c r="F6" s="11">
        <v>33.03944466941671</v>
      </c>
      <c r="G6" s="12">
        <v>0.16262000609909494</v>
      </c>
      <c r="H6" s="11" t="str">
        <f t="shared" ref="H6:I6" si="1">#REF!</f>
        <v>#REF!</v>
      </c>
      <c r="I6" s="12" t="str">
        <f t="shared" si="1"/>
        <v>#REF!</v>
      </c>
      <c r="J6" s="1"/>
      <c r="K6" s="11" t="str">
        <f t="shared" ref="K6:K15" si="2">+H6-F6</f>
        <v>#REF!</v>
      </c>
      <c r="L6" s="1"/>
      <c r="M6" s="11" t="str">
        <f t="shared" ref="M6:M15" si="3">+H6-C6</f>
        <v>#REF!</v>
      </c>
    </row>
    <row r="7" ht="23.25" customHeight="1">
      <c r="A7" s="1"/>
      <c r="B7" s="13" t="s">
        <v>10</v>
      </c>
      <c r="C7" s="14" t="str">
        <f>+'MKT UNITED 26'!AG22</f>
        <v>  107.2 </v>
      </c>
      <c r="D7" s="15">
        <v>0.21367057844058024</v>
      </c>
      <c r="E7" s="1"/>
      <c r="F7" s="14">
        <v>96.45677806644878</v>
      </c>
      <c r="G7" s="15">
        <v>0.1996129363462173</v>
      </c>
      <c r="H7" s="14" t="str">
        <f>'MKT UNITED 26'!O22</f>
        <v>#REF!</v>
      </c>
      <c r="I7" s="15" t="str">
        <f>+'MKT UNITED 26'!AJ22</f>
        <v>0%</v>
      </c>
      <c r="J7" s="1"/>
      <c r="K7" s="14" t="str">
        <f t="shared" si="2"/>
        <v>#REF!</v>
      </c>
      <c r="L7" s="1"/>
      <c r="M7" s="14" t="str">
        <f t="shared" si="3"/>
        <v>#REF!</v>
      </c>
    </row>
    <row r="8" ht="23.25" customHeight="1">
      <c r="A8" s="1"/>
      <c r="B8" s="10" t="s">
        <v>11</v>
      </c>
      <c r="C8" s="11" t="str">
        <f t="shared" ref="C8:C14" si="5">+#REF!</f>
        <v>#REF!</v>
      </c>
      <c r="D8" s="12">
        <v>0.17652298125679264</v>
      </c>
      <c r="E8" s="1"/>
      <c r="F8" s="11">
        <v>7.776706217823165</v>
      </c>
      <c r="G8" s="12">
        <v>0.14690027326053492</v>
      </c>
      <c r="H8" s="11" t="str">
        <f t="shared" ref="H8:I8" si="4">#REF!</f>
        <v>#REF!</v>
      </c>
      <c r="I8" s="12" t="str">
        <f t="shared" si="4"/>
        <v>#REF!</v>
      </c>
      <c r="J8" s="1"/>
      <c r="K8" s="11" t="str">
        <f t="shared" si="2"/>
        <v>#REF!</v>
      </c>
      <c r="L8" s="1"/>
      <c r="M8" s="11" t="str">
        <f t="shared" si="3"/>
        <v>#REF!</v>
      </c>
    </row>
    <row r="9" ht="23.25" customHeight="1">
      <c r="A9" s="1"/>
      <c r="B9" s="13" t="s">
        <v>12</v>
      </c>
      <c r="C9" s="14" t="str">
        <f t="shared" si="5"/>
        <v>#REF!</v>
      </c>
      <c r="D9" s="15" t="str">
        <f t="shared" ref="D9:D11" si="6">#REF!</f>
        <v>#REF!</v>
      </c>
      <c r="E9" s="1"/>
      <c r="F9" s="14">
        <v>40.85981191652189</v>
      </c>
      <c r="G9" s="15">
        <v>0.28328755468740435</v>
      </c>
      <c r="H9" s="14" t="str">
        <f t="shared" ref="H9:H14" si="7">+#REF!</f>
        <v>#REF!</v>
      </c>
      <c r="I9" s="15" t="str">
        <f>#REF!</f>
        <v>#REF!</v>
      </c>
      <c r="J9" s="1"/>
      <c r="K9" s="14" t="str">
        <f t="shared" si="2"/>
        <v>#REF!</v>
      </c>
      <c r="L9" s="1"/>
      <c r="M9" s="14" t="str">
        <f t="shared" si="3"/>
        <v>#REF!</v>
      </c>
    </row>
    <row r="10" ht="23.25" customHeight="1">
      <c r="A10" s="1"/>
      <c r="B10" s="10" t="s">
        <v>13</v>
      </c>
      <c r="C10" s="11" t="str">
        <f t="shared" si="5"/>
        <v>#REF!</v>
      </c>
      <c r="D10" s="12" t="str">
        <f t="shared" si="6"/>
        <v>#REF!</v>
      </c>
      <c r="E10" s="1"/>
      <c r="F10" s="11">
        <v>50.89703808612549</v>
      </c>
      <c r="G10" s="12">
        <v>0.13145145454505686</v>
      </c>
      <c r="H10" s="11" t="str">
        <f t="shared" si="7"/>
        <v>#REF!</v>
      </c>
      <c r="I10" s="12" t="str">
        <f t="shared" ref="I10:I11" si="8">+#REF!</f>
        <v>#REF!</v>
      </c>
      <c r="J10" s="1"/>
      <c r="K10" s="11" t="str">
        <f t="shared" si="2"/>
        <v>#REF!</v>
      </c>
      <c r="L10" s="1"/>
      <c r="M10" s="11" t="str">
        <f t="shared" si="3"/>
        <v>#REF!</v>
      </c>
    </row>
    <row r="11" ht="23.25" customHeight="1">
      <c r="A11" s="1"/>
      <c r="B11" s="13" t="s">
        <v>14</v>
      </c>
      <c r="C11" s="14" t="str">
        <f t="shared" si="5"/>
        <v>#REF!</v>
      </c>
      <c r="D11" s="15" t="str">
        <f t="shared" si="6"/>
        <v>#REF!</v>
      </c>
      <c r="E11" s="1"/>
      <c r="F11" s="14">
        <v>38.01821291432108</v>
      </c>
      <c r="G11" s="15">
        <v>0.17126881794644125</v>
      </c>
      <c r="H11" s="14" t="str">
        <f t="shared" si="7"/>
        <v>#REF!</v>
      </c>
      <c r="I11" s="15" t="str">
        <f t="shared" si="8"/>
        <v>#REF!</v>
      </c>
      <c r="J11" s="1"/>
      <c r="K11" s="14" t="str">
        <f t="shared" si="2"/>
        <v>#REF!</v>
      </c>
      <c r="L11" s="1"/>
      <c r="M11" s="14" t="str">
        <f t="shared" si="3"/>
        <v>#REF!</v>
      </c>
    </row>
    <row r="12" ht="23.25" customHeight="1">
      <c r="A12" s="1"/>
      <c r="B12" s="10" t="s">
        <v>15</v>
      </c>
      <c r="C12" s="11" t="str">
        <f t="shared" si="5"/>
        <v>#REF!</v>
      </c>
      <c r="D12" s="12" t="str">
        <f t="shared" ref="D12:D14" si="9">+#REF!</f>
        <v>#REF!</v>
      </c>
      <c r="E12" s="1"/>
      <c r="F12" s="11">
        <v>44.2418691041905</v>
      </c>
      <c r="G12" s="12">
        <v>0.2191781339304181</v>
      </c>
      <c r="H12" s="11" t="str">
        <f t="shared" si="7"/>
        <v>#REF!</v>
      </c>
      <c r="I12" s="12" t="str">
        <f>#REF!</f>
        <v>#REF!</v>
      </c>
      <c r="J12" s="1"/>
      <c r="K12" s="11" t="str">
        <f t="shared" si="2"/>
        <v>#REF!</v>
      </c>
      <c r="L12" s="1"/>
      <c r="M12" s="11" t="str">
        <f t="shared" si="3"/>
        <v>#REF!</v>
      </c>
    </row>
    <row r="13" ht="23.25" customHeight="1">
      <c r="A13" s="1"/>
      <c r="B13" s="13" t="s">
        <v>16</v>
      </c>
      <c r="C13" s="14" t="str">
        <f t="shared" si="5"/>
        <v>#REF!</v>
      </c>
      <c r="D13" s="15" t="str">
        <f t="shared" si="9"/>
        <v>#REF!</v>
      </c>
      <c r="E13" s="1"/>
      <c r="F13" s="14">
        <v>45.984079646750615</v>
      </c>
      <c r="G13" s="15">
        <v>0.18301180251532803</v>
      </c>
      <c r="H13" s="14" t="str">
        <f t="shared" si="7"/>
        <v>#REF!</v>
      </c>
      <c r="I13" s="15" t="str">
        <f t="shared" ref="I13:I14" si="10">+#REF!</f>
        <v>#REF!</v>
      </c>
      <c r="J13" s="1"/>
      <c r="K13" s="14" t="str">
        <f t="shared" si="2"/>
        <v>#REF!</v>
      </c>
      <c r="L13" s="1"/>
      <c r="M13" s="14" t="str">
        <f t="shared" si="3"/>
        <v>#REF!</v>
      </c>
    </row>
    <row r="14" ht="23.25" customHeight="1">
      <c r="A14" s="1"/>
      <c r="B14" s="10" t="s">
        <v>17</v>
      </c>
      <c r="C14" s="11" t="str">
        <f t="shared" si="5"/>
        <v>#REF!</v>
      </c>
      <c r="D14" s="12" t="str">
        <f t="shared" si="9"/>
        <v>#REF!</v>
      </c>
      <c r="E14" s="1"/>
      <c r="F14" s="11">
        <v>26.984561172746833</v>
      </c>
      <c r="G14" s="12">
        <v>0.2179303420940486</v>
      </c>
      <c r="H14" s="11" t="str">
        <f t="shared" si="7"/>
        <v>#REF!</v>
      </c>
      <c r="I14" s="12" t="str">
        <f t="shared" si="10"/>
        <v>#REF!</v>
      </c>
      <c r="J14" s="1"/>
      <c r="K14" s="11" t="str">
        <f t="shared" si="2"/>
        <v>#REF!</v>
      </c>
      <c r="L14" s="1"/>
      <c r="M14" s="11" t="str">
        <f t="shared" si="3"/>
        <v>#REF!</v>
      </c>
    </row>
    <row r="15" ht="23.25" hidden="1" customHeight="1">
      <c r="A15" s="1"/>
      <c r="B15" s="13" t="s">
        <v>18</v>
      </c>
      <c r="C15" s="14">
        <v>-70.60204423005047</v>
      </c>
      <c r="D15" s="16"/>
      <c r="E15" s="1"/>
      <c r="F15" s="14">
        <v>-77.28624652695777</v>
      </c>
      <c r="G15" s="16"/>
      <c r="H15" s="14">
        <v>-75.83736039103815</v>
      </c>
      <c r="I15" s="16"/>
      <c r="J15" s="1"/>
      <c r="K15" s="14" t="str">
        <f t="shared" si="2"/>
        <v>  1.4 </v>
      </c>
      <c r="L15" s="1"/>
      <c r="M15" s="14" t="str">
        <f t="shared" si="3"/>
        <v>  (5.2)</v>
      </c>
    </row>
    <row r="16" ht="8.25" customHeight="1">
      <c r="A16" s="1"/>
      <c r="B16" s="1"/>
      <c r="C16" s="1"/>
      <c r="D16" s="3"/>
      <c r="E16" s="1"/>
      <c r="F16" s="1"/>
      <c r="G16" s="3"/>
      <c r="H16" s="1"/>
      <c r="I16" s="3"/>
      <c r="J16" s="1"/>
      <c r="K16" s="1"/>
      <c r="L16" s="1"/>
      <c r="M16" s="1"/>
    </row>
    <row r="17" ht="23.25" customHeight="1">
      <c r="A17" s="1"/>
      <c r="B17" s="17" t="s">
        <v>19</v>
      </c>
      <c r="C17" s="18" t="str">
        <f>SUM(C6:C15)</f>
        <v>#REF!</v>
      </c>
      <c r="D17" s="19" t="str">
        <f>#REF!</f>
        <v>#REF!</v>
      </c>
      <c r="E17" s="1"/>
      <c r="F17" s="18" t="str">
        <f>SUM(F6:F15)</f>
        <v>  307.0 </v>
      </c>
      <c r="G17" s="19">
        <v>0.14831923731318503</v>
      </c>
      <c r="H17" s="18" t="str">
        <f>SUM(H6:H15)</f>
        <v>#REF!</v>
      </c>
      <c r="I17" s="19" t="str">
        <f>#REF!</f>
        <v>#REF!</v>
      </c>
      <c r="J17" s="1"/>
      <c r="K17" s="20" t="str">
        <f>SUM(K6:K15)</f>
        <v>#REF!</v>
      </c>
      <c r="L17" s="1"/>
      <c r="M17" s="21" t="str">
        <f>SUM(M6:M15)</f>
        <v>#REF!</v>
      </c>
    </row>
    <row r="18" ht="23.25" customHeight="1">
      <c r="A18" s="1"/>
      <c r="B18" s="1"/>
      <c r="C18" s="1"/>
      <c r="D18" s="1"/>
      <c r="E18" s="1"/>
      <c r="F18" s="1"/>
      <c r="G18" s="3"/>
      <c r="H18" s="1"/>
      <c r="I18" s="3"/>
      <c r="J18" s="1"/>
      <c r="K18" s="1"/>
      <c r="L18" s="1"/>
      <c r="M18" s="1"/>
    </row>
    <row r="19">
      <c r="A19" s="1"/>
      <c r="B19" s="1"/>
      <c r="C19" s="11"/>
      <c r="D19" s="11"/>
      <c r="E19" s="1"/>
      <c r="F19" s="11"/>
      <c r="G19" s="3"/>
      <c r="H19" s="11"/>
      <c r="I19" s="3"/>
      <c r="J19" s="1"/>
      <c r="K19" s="1"/>
      <c r="L19" s="1"/>
      <c r="M19" s="1"/>
    </row>
    <row r="20">
      <c r="A20" s="1"/>
      <c r="B20" s="1"/>
      <c r="C20" s="11"/>
      <c r="D20" s="11"/>
      <c r="E20" s="1"/>
      <c r="F20" s="11"/>
      <c r="G20" s="3"/>
      <c r="H20" s="11"/>
      <c r="I20" s="3"/>
      <c r="J20" s="1"/>
      <c r="K20" s="1"/>
      <c r="L20" s="1"/>
      <c r="M20" s="1"/>
    </row>
    <row r="21" ht="15.75" customHeight="1">
      <c r="A21" s="1"/>
      <c r="B21" s="1"/>
      <c r="C21" s="1"/>
      <c r="D21" s="1"/>
      <c r="E21" s="1"/>
      <c r="F21" s="1"/>
      <c r="G21" s="3"/>
      <c r="H21" s="1"/>
      <c r="I21" s="3"/>
      <c r="J21" s="1"/>
      <c r="K21" s="1"/>
      <c r="L21" s="1"/>
      <c r="M21" s="1"/>
    </row>
    <row r="22" ht="15.75" customHeight="1">
      <c r="A22" s="1"/>
      <c r="B22" s="1"/>
      <c r="C22" s="1"/>
      <c r="D22" s="1"/>
      <c r="E22" s="1"/>
      <c r="F22" s="1"/>
      <c r="G22" s="22"/>
      <c r="H22" s="23"/>
      <c r="I22" s="3"/>
      <c r="J22" s="1"/>
      <c r="K22" s="1"/>
      <c r="L22" s="1"/>
      <c r="M22" s="1"/>
    </row>
    <row r="23" ht="15.75" customHeight="1">
      <c r="A23" s="1"/>
      <c r="B23" s="1"/>
      <c r="C23" s="1"/>
      <c r="D23" s="1"/>
      <c r="E23" s="1"/>
      <c r="F23" s="1"/>
      <c r="G23" s="22"/>
      <c r="H23" s="1"/>
      <c r="I23" s="3"/>
      <c r="J23" s="1"/>
      <c r="K23" s="1"/>
      <c r="L23" s="1"/>
      <c r="M23" s="1"/>
    </row>
    <row r="24" ht="15.75" customHeight="1">
      <c r="A24" s="1"/>
      <c r="B24" s="1"/>
      <c r="C24" s="1"/>
      <c r="D24" s="1"/>
      <c r="E24" s="1"/>
      <c r="F24" s="1"/>
      <c r="G24" s="22"/>
      <c r="H24" s="1"/>
      <c r="I24" s="3"/>
      <c r="J24" s="1"/>
      <c r="K24" s="1"/>
      <c r="L24" s="1"/>
      <c r="M24" s="1"/>
    </row>
    <row r="25" ht="15.75" customHeight="1">
      <c r="A25" s="1"/>
      <c r="B25" s="1"/>
      <c r="C25" s="1"/>
      <c r="D25" s="1"/>
      <c r="E25" s="1"/>
      <c r="F25" s="1"/>
      <c r="G25" s="22"/>
      <c r="H25" s="12"/>
      <c r="I25" s="3"/>
      <c r="J25" s="1"/>
      <c r="K25" s="1"/>
      <c r="L25" s="1"/>
      <c r="M25" s="1"/>
    </row>
    <row r="26" ht="15.75" customHeight="1">
      <c r="A26" s="1"/>
      <c r="B26" s="1"/>
      <c r="C26" s="1"/>
      <c r="D26" s="1"/>
      <c r="E26" s="1"/>
      <c r="F26" s="1"/>
      <c r="G26" s="22"/>
      <c r="H26" s="12"/>
      <c r="I26" s="3"/>
      <c r="J26" s="1"/>
      <c r="K26" s="1"/>
      <c r="L26" s="1"/>
      <c r="M26" s="1"/>
    </row>
    <row r="27" ht="15.75" customHeight="1">
      <c r="A27" s="1"/>
      <c r="B27" s="1"/>
      <c r="C27" s="1"/>
      <c r="D27" s="1"/>
      <c r="E27" s="1"/>
      <c r="F27" s="1"/>
      <c r="G27" s="22"/>
      <c r="H27" s="1"/>
      <c r="I27" s="3"/>
      <c r="J27" s="1"/>
      <c r="K27" s="1"/>
      <c r="L27" s="1"/>
      <c r="M27" s="1"/>
    </row>
    <row r="28" ht="15.75" customHeight="1">
      <c r="A28" s="1"/>
      <c r="B28" s="1"/>
      <c r="C28" s="1"/>
      <c r="D28" s="1"/>
      <c r="E28" s="1"/>
      <c r="F28" s="1"/>
      <c r="G28" s="22"/>
      <c r="H28" s="1"/>
      <c r="I28" s="3"/>
      <c r="J28" s="1"/>
      <c r="K28" s="1"/>
      <c r="L28" s="1"/>
      <c r="M28" s="1"/>
    </row>
    <row r="29" ht="15.75" customHeight="1">
      <c r="A29" s="1"/>
      <c r="B29" s="1"/>
      <c r="C29" s="1"/>
      <c r="D29" s="1"/>
      <c r="E29" s="1"/>
      <c r="F29" s="1"/>
      <c r="G29" s="22"/>
      <c r="H29" s="1"/>
      <c r="I29" s="3"/>
      <c r="J29" s="1"/>
      <c r="K29" s="1"/>
      <c r="L29" s="1"/>
      <c r="M29" s="1"/>
    </row>
    <row r="30" ht="15.75" customHeight="1">
      <c r="A30" s="1"/>
      <c r="B30" s="1"/>
      <c r="C30" s="1"/>
      <c r="D30" s="1"/>
      <c r="E30" s="1"/>
      <c r="F30" s="1"/>
      <c r="G30" s="22"/>
      <c r="H30" s="1"/>
      <c r="I30" s="3"/>
      <c r="J30" s="1"/>
      <c r="K30" s="1"/>
      <c r="L30" s="1"/>
      <c r="M30" s="1"/>
    </row>
    <row r="31" ht="15.75" customHeight="1">
      <c r="A31" s="1"/>
      <c r="B31" s="1"/>
      <c r="C31" s="1"/>
      <c r="D31" s="1"/>
      <c r="E31" s="1"/>
      <c r="F31" s="1"/>
      <c r="G31" s="22"/>
      <c r="H31" s="1"/>
      <c r="I31" s="3"/>
      <c r="J31" s="1"/>
      <c r="K31" s="1"/>
      <c r="L31" s="1"/>
      <c r="M31" s="1"/>
    </row>
    <row r="32" ht="15.75" customHeight="1">
      <c r="A32" s="1"/>
      <c r="B32" s="1"/>
      <c r="C32" s="1"/>
      <c r="D32" s="1"/>
      <c r="E32" s="1"/>
      <c r="F32" s="1"/>
      <c r="G32" s="3"/>
      <c r="H32" s="1"/>
      <c r="I32" s="3"/>
      <c r="J32" s="1"/>
      <c r="K32" s="1"/>
      <c r="L32" s="1"/>
      <c r="M32" s="1"/>
    </row>
    <row r="33" ht="15.75" customHeight="1">
      <c r="A33" s="1"/>
      <c r="B33" s="1"/>
      <c r="C33" s="1"/>
      <c r="D33" s="1"/>
      <c r="E33" s="1"/>
      <c r="F33" s="1"/>
      <c r="G33" s="3"/>
      <c r="H33" s="1"/>
      <c r="I33" s="3"/>
      <c r="J33" s="1"/>
      <c r="K33" s="1"/>
      <c r="L33" s="1"/>
      <c r="M33" s="1"/>
    </row>
    <row r="34" ht="15.75" customHeight="1">
      <c r="A34" s="1"/>
      <c r="B34" s="1"/>
      <c r="C34" s="1"/>
      <c r="D34" s="1"/>
      <c r="E34" s="1"/>
      <c r="F34" s="1"/>
      <c r="G34" s="3"/>
      <c r="H34" s="1"/>
      <c r="I34" s="3"/>
      <c r="J34" s="1"/>
      <c r="K34" s="1"/>
      <c r="L34" s="1"/>
      <c r="M34" s="1"/>
    </row>
    <row r="35" ht="15.75" customHeight="1">
      <c r="A35" s="1"/>
      <c r="B35" s="1"/>
      <c r="C35" s="1"/>
      <c r="D35" s="1"/>
      <c r="E35" s="1"/>
      <c r="F35" s="1"/>
      <c r="G35" s="3"/>
      <c r="H35" s="1"/>
      <c r="I35" s="3"/>
      <c r="J35" s="1"/>
      <c r="K35" s="1"/>
      <c r="L35" s="1"/>
      <c r="M35" s="1"/>
    </row>
    <row r="36" ht="15.75" customHeight="1">
      <c r="A36" s="1"/>
      <c r="B36" s="1"/>
      <c r="C36" s="1"/>
      <c r="D36" s="1"/>
      <c r="E36" s="1"/>
      <c r="F36" s="1"/>
      <c r="G36" s="3"/>
      <c r="H36" s="1"/>
      <c r="I36" s="3"/>
      <c r="J36" s="1"/>
      <c r="K36" s="1"/>
      <c r="L36" s="1"/>
      <c r="M36" s="1"/>
    </row>
    <row r="37" ht="15.75" customHeight="1">
      <c r="A37" s="1"/>
      <c r="B37" s="1"/>
      <c r="C37" s="1"/>
      <c r="D37" s="1"/>
      <c r="E37" s="1"/>
      <c r="F37" s="1"/>
      <c r="G37" s="3"/>
      <c r="H37" s="1"/>
      <c r="I37" s="3"/>
      <c r="J37" s="1"/>
      <c r="K37" s="1"/>
      <c r="L37" s="1"/>
      <c r="M37" s="1"/>
    </row>
    <row r="38" ht="15.75" customHeight="1">
      <c r="A38" s="1"/>
      <c r="B38" s="1"/>
      <c r="C38" s="1"/>
      <c r="D38" s="1"/>
      <c r="E38" s="1"/>
      <c r="F38" s="1"/>
      <c r="G38" s="3"/>
      <c r="H38" s="1"/>
      <c r="I38" s="3"/>
      <c r="J38" s="1"/>
      <c r="K38" s="1"/>
      <c r="L38" s="1"/>
      <c r="M38" s="1"/>
    </row>
    <row r="39" ht="15.75" customHeight="1">
      <c r="A39" s="1"/>
      <c r="B39" s="1"/>
      <c r="C39" s="1"/>
      <c r="D39" s="1"/>
      <c r="E39" s="1"/>
      <c r="F39" s="1"/>
      <c r="G39" s="3"/>
      <c r="H39" s="1"/>
      <c r="I39" s="3"/>
      <c r="J39" s="1"/>
      <c r="K39" s="1"/>
      <c r="L39" s="1"/>
      <c r="M39" s="1"/>
    </row>
    <row r="40" ht="15.75" customHeight="1">
      <c r="A40" s="1"/>
      <c r="B40" s="1"/>
      <c r="C40" s="1"/>
      <c r="D40" s="1"/>
      <c r="E40" s="1"/>
      <c r="F40" s="1"/>
      <c r="G40" s="3"/>
      <c r="H40" s="1"/>
      <c r="I40" s="3"/>
      <c r="J40" s="1"/>
      <c r="K40" s="1"/>
      <c r="L40" s="1"/>
      <c r="M40" s="1"/>
    </row>
    <row r="41" ht="15.75" customHeight="1">
      <c r="A41" s="1"/>
      <c r="B41" s="1"/>
      <c r="C41" s="1"/>
      <c r="D41" s="1"/>
      <c r="E41" s="1"/>
      <c r="F41" s="1"/>
      <c r="G41" s="3"/>
      <c r="H41" s="1"/>
      <c r="I41" s="3"/>
      <c r="J41" s="1"/>
      <c r="K41" s="1"/>
      <c r="L41" s="1"/>
      <c r="M41" s="1"/>
    </row>
    <row r="42" ht="15.75" customHeight="1">
      <c r="A42" s="1"/>
      <c r="B42" s="1"/>
      <c r="C42" s="1"/>
      <c r="D42" s="1"/>
      <c r="E42" s="1"/>
      <c r="F42" s="1"/>
      <c r="G42" s="3"/>
      <c r="H42" s="1"/>
      <c r="I42" s="3"/>
      <c r="J42" s="1"/>
      <c r="K42" s="1"/>
      <c r="L42" s="1"/>
      <c r="M42" s="1"/>
    </row>
    <row r="43" ht="15.75" customHeight="1">
      <c r="A43" s="1"/>
      <c r="B43" s="1"/>
      <c r="C43" s="1"/>
      <c r="D43" s="1"/>
      <c r="E43" s="1"/>
      <c r="F43" s="1"/>
      <c r="G43" s="3"/>
      <c r="H43" s="1"/>
      <c r="I43" s="3"/>
      <c r="J43" s="1"/>
      <c r="K43" s="1"/>
      <c r="L43" s="1"/>
      <c r="M43" s="1"/>
    </row>
    <row r="44" ht="15.75" customHeight="1">
      <c r="A44" s="1"/>
      <c r="B44" s="1"/>
      <c r="C44" s="1"/>
      <c r="D44" s="1"/>
      <c r="E44" s="1"/>
      <c r="F44" s="1"/>
      <c r="G44" s="3"/>
      <c r="H44" s="1"/>
      <c r="I44" s="3"/>
      <c r="J44" s="1"/>
      <c r="K44" s="1"/>
      <c r="L44" s="1"/>
      <c r="M44" s="1"/>
    </row>
    <row r="45" ht="15.75" customHeight="1">
      <c r="A45" s="1"/>
      <c r="B45" s="1"/>
      <c r="C45" s="1"/>
      <c r="D45" s="1"/>
      <c r="E45" s="1"/>
      <c r="F45" s="1"/>
      <c r="G45" s="3"/>
      <c r="H45" s="1"/>
      <c r="I45" s="3"/>
      <c r="J45" s="1"/>
      <c r="K45" s="1"/>
      <c r="L45" s="1"/>
      <c r="M45" s="1"/>
    </row>
    <row r="46" ht="15.75" customHeight="1">
      <c r="A46" s="1"/>
      <c r="B46" s="1"/>
      <c r="C46" s="1"/>
      <c r="D46" s="1"/>
      <c r="E46" s="1"/>
      <c r="F46" s="1"/>
      <c r="G46" s="3"/>
      <c r="H46" s="1"/>
      <c r="I46" s="3"/>
      <c r="J46" s="1"/>
      <c r="K46" s="1"/>
      <c r="L46" s="1"/>
      <c r="M46" s="1"/>
    </row>
    <row r="47" ht="15.75" customHeight="1">
      <c r="A47" s="1"/>
      <c r="B47" s="1"/>
      <c r="C47" s="1"/>
      <c r="D47" s="1"/>
      <c r="E47" s="1"/>
      <c r="F47" s="1"/>
      <c r="G47" s="3"/>
      <c r="H47" s="1"/>
      <c r="I47" s="3"/>
      <c r="J47" s="1"/>
      <c r="K47" s="1"/>
      <c r="L47" s="1"/>
      <c r="M47" s="1"/>
    </row>
    <row r="48" ht="15.75" customHeight="1">
      <c r="A48" s="1"/>
      <c r="B48" s="1"/>
      <c r="C48" s="1"/>
      <c r="D48" s="1"/>
      <c r="E48" s="1"/>
      <c r="F48" s="1"/>
      <c r="G48" s="3"/>
      <c r="H48" s="1"/>
      <c r="I48" s="3"/>
      <c r="J48" s="1"/>
      <c r="K48" s="1"/>
      <c r="L48" s="1"/>
      <c r="M48" s="1"/>
    </row>
    <row r="49" ht="15.75" customHeight="1">
      <c r="A49" s="1"/>
      <c r="B49" s="1"/>
      <c r="C49" s="1"/>
      <c r="D49" s="1"/>
      <c r="E49" s="1"/>
      <c r="F49" s="1"/>
      <c r="G49" s="3"/>
      <c r="H49" s="1"/>
      <c r="I49" s="3"/>
      <c r="J49" s="1"/>
      <c r="K49" s="1"/>
      <c r="L49" s="1"/>
      <c r="M49" s="1"/>
    </row>
    <row r="50" ht="15.75" customHeight="1">
      <c r="A50" s="1"/>
      <c r="B50" s="1"/>
      <c r="C50" s="1"/>
      <c r="D50" s="1"/>
      <c r="E50" s="1"/>
      <c r="F50" s="1"/>
      <c r="G50" s="3"/>
      <c r="H50" s="1"/>
      <c r="I50" s="3"/>
      <c r="J50" s="1"/>
      <c r="K50" s="1"/>
      <c r="L50" s="1"/>
      <c r="M50" s="1"/>
    </row>
    <row r="51" ht="15.75" customHeight="1">
      <c r="A51" s="1"/>
      <c r="B51" s="1"/>
      <c r="C51" s="1"/>
      <c r="D51" s="1"/>
      <c r="E51" s="1"/>
      <c r="F51" s="1"/>
      <c r="G51" s="3"/>
      <c r="H51" s="1"/>
      <c r="I51" s="3"/>
      <c r="J51" s="1"/>
      <c r="K51" s="1"/>
      <c r="L51" s="1"/>
      <c r="M51" s="1"/>
    </row>
    <row r="52" ht="15.75" customHeight="1">
      <c r="A52" s="1"/>
      <c r="B52" s="1"/>
      <c r="C52" s="1"/>
      <c r="D52" s="1"/>
      <c r="E52" s="1"/>
      <c r="F52" s="1"/>
      <c r="G52" s="3"/>
      <c r="H52" s="1"/>
      <c r="I52" s="3"/>
      <c r="J52" s="1"/>
      <c r="K52" s="1"/>
      <c r="L52" s="1"/>
      <c r="M52" s="1"/>
    </row>
    <row r="53" ht="15.75" customHeight="1">
      <c r="A53" s="1"/>
      <c r="B53" s="1"/>
      <c r="C53" s="1"/>
      <c r="D53" s="1"/>
      <c r="E53" s="1"/>
      <c r="F53" s="1"/>
      <c r="G53" s="3"/>
      <c r="H53" s="1"/>
      <c r="I53" s="3"/>
      <c r="J53" s="1"/>
      <c r="K53" s="1"/>
      <c r="L53" s="1"/>
      <c r="M53" s="1"/>
    </row>
    <row r="54" ht="15.75" customHeight="1">
      <c r="A54" s="1"/>
      <c r="B54" s="1"/>
      <c r="C54" s="1"/>
      <c r="D54" s="1"/>
      <c r="E54" s="1"/>
      <c r="F54" s="1"/>
      <c r="G54" s="3"/>
      <c r="H54" s="1"/>
      <c r="I54" s="3"/>
      <c r="J54" s="1"/>
      <c r="K54" s="1"/>
      <c r="L54" s="1"/>
      <c r="M54" s="1"/>
    </row>
    <row r="55" ht="15.75" customHeight="1">
      <c r="A55" s="1"/>
      <c r="B55" s="1"/>
      <c r="C55" s="1"/>
      <c r="D55" s="1"/>
      <c r="E55" s="1"/>
      <c r="F55" s="1"/>
      <c r="G55" s="3"/>
      <c r="H55" s="1"/>
      <c r="I55" s="3"/>
      <c r="J55" s="1"/>
      <c r="K55" s="1"/>
      <c r="L55" s="1"/>
      <c r="M55" s="1"/>
    </row>
    <row r="56" ht="15.75" customHeight="1">
      <c r="A56" s="1"/>
      <c r="B56" s="1"/>
      <c r="C56" s="1"/>
      <c r="D56" s="1"/>
      <c r="E56" s="1"/>
      <c r="F56" s="1"/>
      <c r="G56" s="3"/>
      <c r="H56" s="1"/>
      <c r="I56" s="3"/>
      <c r="J56" s="1"/>
      <c r="K56" s="1"/>
      <c r="L56" s="1"/>
      <c r="M56" s="1"/>
    </row>
    <row r="57" ht="15.75" customHeight="1">
      <c r="A57" s="1"/>
      <c r="B57" s="1"/>
      <c r="C57" s="1"/>
      <c r="D57" s="1"/>
      <c r="E57" s="1"/>
      <c r="F57" s="1"/>
      <c r="G57" s="3"/>
      <c r="H57" s="1"/>
      <c r="I57" s="3"/>
      <c r="J57" s="1"/>
      <c r="K57" s="1"/>
      <c r="L57" s="1"/>
      <c r="M57" s="1"/>
    </row>
    <row r="58" ht="15.75" customHeight="1">
      <c r="A58" s="1"/>
      <c r="B58" s="1"/>
      <c r="C58" s="1"/>
      <c r="D58" s="1"/>
      <c r="E58" s="1"/>
      <c r="F58" s="1"/>
      <c r="G58" s="3"/>
      <c r="H58" s="1"/>
      <c r="I58" s="3"/>
      <c r="J58" s="1"/>
      <c r="K58" s="1"/>
      <c r="L58" s="1"/>
      <c r="M58" s="1"/>
    </row>
    <row r="59" ht="15.75" customHeight="1">
      <c r="A59" s="1"/>
      <c r="B59" s="1"/>
      <c r="C59" s="1"/>
      <c r="D59" s="1"/>
      <c r="E59" s="1"/>
      <c r="F59" s="1"/>
      <c r="G59" s="3"/>
      <c r="H59" s="1"/>
      <c r="I59" s="3"/>
      <c r="J59" s="1"/>
      <c r="K59" s="1"/>
      <c r="L59" s="1"/>
      <c r="M59" s="1"/>
    </row>
    <row r="60" ht="15.75" customHeight="1">
      <c r="A60" s="1"/>
      <c r="B60" s="1"/>
      <c r="C60" s="1"/>
      <c r="D60" s="1"/>
      <c r="E60" s="1"/>
      <c r="F60" s="1"/>
      <c r="G60" s="3"/>
      <c r="H60" s="1"/>
      <c r="I60" s="3"/>
      <c r="J60" s="1"/>
      <c r="K60" s="1"/>
      <c r="L60" s="1"/>
      <c r="M60" s="1"/>
    </row>
    <row r="61" ht="15.75" customHeight="1">
      <c r="A61" s="1"/>
      <c r="B61" s="1"/>
      <c r="C61" s="1"/>
      <c r="D61" s="1"/>
      <c r="E61" s="1"/>
      <c r="F61" s="1"/>
      <c r="G61" s="3"/>
      <c r="H61" s="1"/>
      <c r="I61" s="3"/>
      <c r="J61" s="1"/>
      <c r="K61" s="1"/>
      <c r="L61" s="1"/>
      <c r="M61" s="1"/>
    </row>
    <row r="62" ht="15.75" customHeight="1">
      <c r="A62" s="1"/>
      <c r="B62" s="1"/>
      <c r="C62" s="1"/>
      <c r="D62" s="1"/>
      <c r="E62" s="1"/>
      <c r="F62" s="1"/>
      <c r="G62" s="3"/>
      <c r="H62" s="1"/>
      <c r="I62" s="3"/>
      <c r="J62" s="1"/>
      <c r="K62" s="1"/>
      <c r="L62" s="1"/>
      <c r="M62" s="1"/>
    </row>
    <row r="63" ht="15.75" customHeight="1">
      <c r="A63" s="1"/>
      <c r="B63" s="1"/>
      <c r="C63" s="1"/>
      <c r="D63" s="1"/>
      <c r="E63" s="1"/>
      <c r="F63" s="1"/>
      <c r="G63" s="3"/>
      <c r="H63" s="1"/>
      <c r="I63" s="3"/>
      <c r="J63" s="1"/>
      <c r="K63" s="1"/>
      <c r="L63" s="1"/>
      <c r="M63" s="1"/>
    </row>
    <row r="64" ht="15.75" customHeight="1">
      <c r="A64" s="1"/>
      <c r="B64" s="1"/>
      <c r="C64" s="1"/>
      <c r="D64" s="1"/>
      <c r="E64" s="1"/>
      <c r="F64" s="1"/>
      <c r="G64" s="3"/>
      <c r="H64" s="1"/>
      <c r="I64" s="3"/>
      <c r="J64" s="1"/>
      <c r="K64" s="1"/>
      <c r="L64" s="1"/>
      <c r="M64" s="1"/>
    </row>
    <row r="65" ht="15.75" customHeight="1">
      <c r="A65" s="1"/>
      <c r="B65" s="1"/>
      <c r="C65" s="1"/>
      <c r="D65" s="1"/>
      <c r="E65" s="1"/>
      <c r="F65" s="1"/>
      <c r="G65" s="3"/>
      <c r="H65" s="1"/>
      <c r="I65" s="3"/>
      <c r="J65" s="1"/>
      <c r="K65" s="1"/>
      <c r="L65" s="1"/>
      <c r="M65" s="1"/>
    </row>
    <row r="66" ht="15.75" customHeight="1">
      <c r="A66" s="1"/>
      <c r="B66" s="1"/>
      <c r="C66" s="1"/>
      <c r="D66" s="1"/>
      <c r="E66" s="1"/>
      <c r="F66" s="1"/>
      <c r="G66" s="3"/>
      <c r="H66" s="1"/>
      <c r="I66" s="3"/>
      <c r="J66" s="1"/>
      <c r="K66" s="1"/>
      <c r="L66" s="1"/>
      <c r="M66" s="1"/>
    </row>
    <row r="67" ht="15.75" customHeight="1">
      <c r="A67" s="1"/>
      <c r="B67" s="1"/>
      <c r="C67" s="1"/>
      <c r="D67" s="1"/>
      <c r="E67" s="1"/>
      <c r="F67" s="1"/>
      <c r="G67" s="3"/>
      <c r="H67" s="1"/>
      <c r="I67" s="3"/>
      <c r="J67" s="1"/>
      <c r="K67" s="1"/>
      <c r="L67" s="1"/>
      <c r="M67" s="1"/>
    </row>
    <row r="68" ht="15.75" customHeight="1">
      <c r="A68" s="1"/>
      <c r="B68" s="1"/>
      <c r="C68" s="1"/>
      <c r="D68" s="1"/>
      <c r="E68" s="1"/>
      <c r="F68" s="1"/>
      <c r="G68" s="3"/>
      <c r="H68" s="1"/>
      <c r="I68" s="3"/>
      <c r="J68" s="1"/>
      <c r="K68" s="1"/>
      <c r="L68" s="1"/>
      <c r="M68" s="1"/>
    </row>
    <row r="69" ht="15.75" customHeight="1">
      <c r="A69" s="1"/>
      <c r="B69" s="1"/>
      <c r="C69" s="1"/>
      <c r="D69" s="1"/>
      <c r="E69" s="1"/>
      <c r="F69" s="1"/>
      <c r="G69" s="3"/>
      <c r="H69" s="1"/>
      <c r="I69" s="3"/>
      <c r="J69" s="1"/>
      <c r="K69" s="1"/>
      <c r="L69" s="1"/>
      <c r="M69" s="1"/>
    </row>
    <row r="70" ht="15.75" customHeight="1">
      <c r="A70" s="1"/>
      <c r="B70" s="1"/>
      <c r="C70" s="1"/>
      <c r="D70" s="1"/>
      <c r="E70" s="1"/>
      <c r="F70" s="1"/>
      <c r="G70" s="3"/>
      <c r="H70" s="1"/>
      <c r="I70" s="3"/>
      <c r="J70" s="1"/>
      <c r="K70" s="1"/>
      <c r="L70" s="1"/>
      <c r="M70" s="1"/>
    </row>
    <row r="71" ht="15.75" customHeight="1">
      <c r="A71" s="1"/>
      <c r="B71" s="1"/>
      <c r="C71" s="1"/>
      <c r="D71" s="1"/>
      <c r="E71" s="1"/>
      <c r="F71" s="1"/>
      <c r="G71" s="3"/>
      <c r="H71" s="1"/>
      <c r="I71" s="3"/>
      <c r="J71" s="1"/>
      <c r="K71" s="1"/>
      <c r="L71" s="1"/>
      <c r="M71" s="1"/>
    </row>
    <row r="72" ht="15.75" customHeight="1">
      <c r="A72" s="1"/>
      <c r="B72" s="1"/>
      <c r="C72" s="1"/>
      <c r="D72" s="1"/>
      <c r="E72" s="1"/>
      <c r="F72" s="1"/>
      <c r="G72" s="3"/>
      <c r="H72" s="1"/>
      <c r="I72" s="3"/>
      <c r="J72" s="1"/>
      <c r="K72" s="1"/>
      <c r="L72" s="1"/>
      <c r="M72" s="1"/>
    </row>
    <row r="73" ht="15.75" customHeight="1">
      <c r="A73" s="1"/>
      <c r="B73" s="1"/>
      <c r="C73" s="1"/>
      <c r="D73" s="1"/>
      <c r="E73" s="1"/>
      <c r="F73" s="1"/>
      <c r="G73" s="3"/>
      <c r="H73" s="1"/>
      <c r="I73" s="3"/>
      <c r="J73" s="1"/>
      <c r="K73" s="1"/>
      <c r="L73" s="1"/>
      <c r="M73" s="1"/>
    </row>
    <row r="74" ht="15.75" customHeight="1">
      <c r="A74" s="1"/>
      <c r="B74" s="1"/>
      <c r="C74" s="1"/>
      <c r="D74" s="1"/>
      <c r="E74" s="1"/>
      <c r="F74" s="1"/>
      <c r="G74" s="3"/>
      <c r="H74" s="1"/>
      <c r="I74" s="3"/>
      <c r="J74" s="1"/>
      <c r="K74" s="1"/>
      <c r="L74" s="1"/>
      <c r="M74" s="1"/>
    </row>
    <row r="75" ht="15.75" customHeight="1">
      <c r="A75" s="1"/>
      <c r="B75" s="1"/>
      <c r="C75" s="1"/>
      <c r="D75" s="1"/>
      <c r="E75" s="1"/>
      <c r="F75" s="1"/>
      <c r="G75" s="3"/>
      <c r="H75" s="1"/>
      <c r="I75" s="3"/>
      <c r="J75" s="1"/>
      <c r="K75" s="1"/>
      <c r="L75" s="1"/>
      <c r="M75" s="1"/>
    </row>
    <row r="76" ht="15.75" customHeight="1">
      <c r="A76" s="1"/>
      <c r="B76" s="1"/>
      <c r="C76" s="1"/>
      <c r="D76" s="1"/>
      <c r="E76" s="1"/>
      <c r="F76" s="1"/>
      <c r="G76" s="3"/>
      <c r="H76" s="1"/>
      <c r="I76" s="3"/>
      <c r="J76" s="1"/>
      <c r="K76" s="1"/>
      <c r="L76" s="1"/>
      <c r="M76" s="1"/>
    </row>
    <row r="77" ht="15.75" customHeight="1">
      <c r="A77" s="1"/>
      <c r="B77" s="1"/>
      <c r="C77" s="1"/>
      <c r="D77" s="1"/>
      <c r="E77" s="1"/>
      <c r="F77" s="1"/>
      <c r="G77" s="3"/>
      <c r="H77" s="1"/>
      <c r="I77" s="3"/>
      <c r="J77" s="1"/>
      <c r="K77" s="1"/>
      <c r="L77" s="1"/>
      <c r="M77" s="1"/>
    </row>
    <row r="78" ht="15.75" customHeight="1">
      <c r="A78" s="1"/>
      <c r="B78" s="1"/>
      <c r="C78" s="1"/>
      <c r="D78" s="1"/>
      <c r="E78" s="1"/>
      <c r="F78" s="1"/>
      <c r="G78" s="3"/>
      <c r="H78" s="1"/>
      <c r="I78" s="3"/>
      <c r="J78" s="1"/>
      <c r="K78" s="1"/>
      <c r="L78" s="1"/>
      <c r="M78" s="1"/>
    </row>
    <row r="79" ht="15.75" customHeight="1">
      <c r="A79" s="1"/>
      <c r="B79" s="1"/>
      <c r="C79" s="1"/>
      <c r="D79" s="1"/>
      <c r="E79" s="1"/>
      <c r="F79" s="1"/>
      <c r="G79" s="3"/>
      <c r="H79" s="1"/>
      <c r="I79" s="3"/>
      <c r="J79" s="1"/>
      <c r="K79" s="1"/>
      <c r="L79" s="1"/>
      <c r="M79" s="1"/>
    </row>
    <row r="80" ht="15.75" customHeight="1">
      <c r="A80" s="1"/>
      <c r="B80" s="1"/>
      <c r="C80" s="1"/>
      <c r="D80" s="1"/>
      <c r="E80" s="1"/>
      <c r="F80" s="1"/>
      <c r="G80" s="3"/>
      <c r="H80" s="1"/>
      <c r="I80" s="3"/>
      <c r="J80" s="1"/>
      <c r="K80" s="1"/>
      <c r="L80" s="1"/>
      <c r="M80" s="1"/>
    </row>
    <row r="81" ht="15.75" customHeight="1">
      <c r="A81" s="1"/>
      <c r="B81" s="1"/>
      <c r="C81" s="1"/>
      <c r="D81" s="1"/>
      <c r="E81" s="1"/>
      <c r="F81" s="1"/>
      <c r="G81" s="3"/>
      <c r="H81" s="1"/>
      <c r="I81" s="3"/>
      <c r="J81" s="1"/>
      <c r="K81" s="1"/>
      <c r="L81" s="1"/>
      <c r="M81" s="1"/>
    </row>
    <row r="82" ht="15.75" customHeight="1">
      <c r="A82" s="1"/>
      <c r="B82" s="1"/>
      <c r="C82" s="1"/>
      <c r="D82" s="1"/>
      <c r="E82" s="1"/>
      <c r="F82" s="1"/>
      <c r="G82" s="3"/>
      <c r="H82" s="1"/>
      <c r="I82" s="3"/>
      <c r="J82" s="1"/>
      <c r="K82" s="1"/>
      <c r="L82" s="1"/>
      <c r="M82" s="1"/>
    </row>
    <row r="83" ht="15.75" customHeight="1">
      <c r="A83" s="1"/>
      <c r="B83" s="1"/>
      <c r="C83" s="1"/>
      <c r="D83" s="1"/>
      <c r="E83" s="1"/>
      <c r="F83" s="1"/>
      <c r="G83" s="3"/>
      <c r="H83" s="1"/>
      <c r="I83" s="3"/>
      <c r="J83" s="1"/>
      <c r="K83" s="1"/>
      <c r="L83" s="1"/>
      <c r="M83" s="1"/>
    </row>
    <row r="84" ht="15.75" customHeight="1">
      <c r="A84" s="1"/>
      <c r="B84" s="1"/>
      <c r="C84" s="1"/>
      <c r="D84" s="1"/>
      <c r="E84" s="1"/>
      <c r="F84" s="1"/>
      <c r="G84" s="3"/>
      <c r="H84" s="1"/>
      <c r="I84" s="3"/>
      <c r="J84" s="1"/>
      <c r="K84" s="1"/>
      <c r="L84" s="1"/>
      <c r="M84" s="1"/>
    </row>
    <row r="85" ht="15.75" customHeight="1">
      <c r="A85" s="1"/>
      <c r="B85" s="1"/>
      <c r="C85" s="1"/>
      <c r="D85" s="1"/>
      <c r="E85" s="1"/>
      <c r="F85" s="1"/>
      <c r="G85" s="3"/>
      <c r="H85" s="1"/>
      <c r="I85" s="3"/>
      <c r="J85" s="1"/>
      <c r="K85" s="1"/>
      <c r="L85" s="1"/>
      <c r="M85" s="1"/>
    </row>
    <row r="86" ht="15.75" customHeight="1">
      <c r="A86" s="1"/>
      <c r="B86" s="1"/>
      <c r="C86" s="1"/>
      <c r="D86" s="1"/>
      <c r="E86" s="1"/>
      <c r="F86" s="1"/>
      <c r="G86" s="3"/>
      <c r="H86" s="1"/>
      <c r="I86" s="3"/>
      <c r="J86" s="1"/>
      <c r="K86" s="1"/>
      <c r="L86" s="1"/>
      <c r="M86" s="1"/>
    </row>
    <row r="87" ht="15.75" customHeight="1">
      <c r="A87" s="1"/>
      <c r="B87" s="1"/>
      <c r="C87" s="1"/>
      <c r="D87" s="1"/>
      <c r="E87" s="1"/>
      <c r="F87" s="1"/>
      <c r="G87" s="3"/>
      <c r="H87" s="1"/>
      <c r="I87" s="3"/>
      <c r="J87" s="1"/>
      <c r="K87" s="1"/>
      <c r="L87" s="1"/>
      <c r="M87" s="1"/>
    </row>
    <row r="88" ht="15.75" customHeight="1">
      <c r="A88" s="1"/>
      <c r="B88" s="1"/>
      <c r="C88" s="1"/>
      <c r="D88" s="1"/>
      <c r="E88" s="1"/>
      <c r="F88" s="1"/>
      <c r="G88" s="3"/>
      <c r="H88" s="1"/>
      <c r="I88" s="3"/>
      <c r="J88" s="1"/>
      <c r="K88" s="1"/>
      <c r="L88" s="1"/>
      <c r="M88" s="1"/>
    </row>
    <row r="89" ht="15.75" customHeight="1">
      <c r="A89" s="1"/>
      <c r="B89" s="1"/>
      <c r="C89" s="1"/>
      <c r="D89" s="1"/>
      <c r="E89" s="1"/>
      <c r="F89" s="1"/>
      <c r="G89" s="3"/>
      <c r="H89" s="1"/>
      <c r="I89" s="3"/>
      <c r="J89" s="1"/>
      <c r="K89" s="1"/>
      <c r="L89" s="1"/>
      <c r="M89" s="1"/>
    </row>
    <row r="90" ht="15.75" customHeight="1">
      <c r="A90" s="1"/>
      <c r="B90" s="1"/>
      <c r="C90" s="1"/>
      <c r="D90" s="1"/>
      <c r="E90" s="1"/>
      <c r="F90" s="1"/>
      <c r="G90" s="3"/>
      <c r="H90" s="1"/>
      <c r="I90" s="3"/>
      <c r="J90" s="1"/>
      <c r="K90" s="1"/>
      <c r="L90" s="1"/>
      <c r="M90" s="1"/>
    </row>
    <row r="91" ht="15.75" customHeight="1">
      <c r="A91" s="1"/>
      <c r="B91" s="1"/>
      <c r="C91" s="1"/>
      <c r="D91" s="1"/>
      <c r="E91" s="1"/>
      <c r="F91" s="1"/>
      <c r="G91" s="3"/>
      <c r="H91" s="1"/>
      <c r="I91" s="3"/>
      <c r="J91" s="1"/>
      <c r="K91" s="1"/>
      <c r="L91" s="1"/>
      <c r="M91" s="1"/>
    </row>
    <row r="92" ht="15.75" customHeight="1">
      <c r="A92" s="1"/>
      <c r="B92" s="1"/>
      <c r="C92" s="1"/>
      <c r="D92" s="1"/>
      <c r="E92" s="1"/>
      <c r="F92" s="1"/>
      <c r="G92" s="3"/>
      <c r="H92" s="1"/>
      <c r="I92" s="3"/>
      <c r="J92" s="1"/>
      <c r="K92" s="1"/>
      <c r="L92" s="1"/>
      <c r="M92" s="1"/>
    </row>
    <row r="93" ht="15.75" customHeight="1">
      <c r="A93" s="1"/>
      <c r="B93" s="1"/>
      <c r="C93" s="1"/>
      <c r="D93" s="1"/>
      <c r="E93" s="1"/>
      <c r="F93" s="1"/>
      <c r="G93" s="3"/>
      <c r="H93" s="1"/>
      <c r="I93" s="3"/>
      <c r="J93" s="1"/>
      <c r="K93" s="1"/>
      <c r="L93" s="1"/>
      <c r="M93" s="1"/>
    </row>
    <row r="94" ht="15.75" customHeight="1">
      <c r="A94" s="1"/>
      <c r="B94" s="1"/>
      <c r="C94" s="1"/>
      <c r="D94" s="1"/>
      <c r="E94" s="1"/>
      <c r="F94" s="1"/>
      <c r="G94" s="3"/>
      <c r="H94" s="1"/>
      <c r="I94" s="3"/>
      <c r="J94" s="1"/>
      <c r="K94" s="1"/>
      <c r="L94" s="1"/>
      <c r="M94" s="1"/>
    </row>
    <row r="95" ht="15.75" customHeight="1">
      <c r="A95" s="1"/>
      <c r="B95" s="1"/>
      <c r="C95" s="1"/>
      <c r="D95" s="1"/>
      <c r="E95" s="1"/>
      <c r="F95" s="1"/>
      <c r="G95" s="3"/>
      <c r="H95" s="1"/>
      <c r="I95" s="3"/>
      <c r="J95" s="1"/>
      <c r="K95" s="1"/>
      <c r="L95" s="1"/>
      <c r="M95" s="1"/>
    </row>
    <row r="96" ht="15.75" customHeight="1">
      <c r="A96" s="1"/>
      <c r="B96" s="1"/>
      <c r="C96" s="1"/>
      <c r="D96" s="1"/>
      <c r="E96" s="1"/>
      <c r="F96" s="1"/>
      <c r="G96" s="3"/>
      <c r="H96" s="1"/>
      <c r="I96" s="3"/>
      <c r="J96" s="1"/>
      <c r="K96" s="1"/>
      <c r="L96" s="1"/>
      <c r="M96" s="1"/>
    </row>
    <row r="97" ht="15.75" customHeight="1">
      <c r="A97" s="1"/>
      <c r="B97" s="1"/>
      <c r="C97" s="1"/>
      <c r="D97" s="1"/>
      <c r="E97" s="1"/>
      <c r="F97" s="1"/>
      <c r="G97" s="3"/>
      <c r="H97" s="1"/>
      <c r="I97" s="3"/>
      <c r="J97" s="1"/>
      <c r="K97" s="1"/>
      <c r="L97" s="1"/>
      <c r="M97" s="1"/>
    </row>
    <row r="98" ht="15.75" customHeight="1">
      <c r="A98" s="1"/>
      <c r="B98" s="1"/>
      <c r="C98" s="1"/>
      <c r="D98" s="1"/>
      <c r="E98" s="1"/>
      <c r="F98" s="1"/>
      <c r="G98" s="3"/>
      <c r="H98" s="1"/>
      <c r="I98" s="3"/>
      <c r="J98" s="1"/>
      <c r="K98" s="1"/>
      <c r="L98" s="1"/>
      <c r="M98" s="1"/>
    </row>
    <row r="99" ht="15.75" customHeight="1">
      <c r="A99" s="1"/>
      <c r="B99" s="1"/>
      <c r="C99" s="1"/>
      <c r="D99" s="1"/>
      <c r="E99" s="1"/>
      <c r="F99" s="1"/>
      <c r="G99" s="3"/>
      <c r="H99" s="1"/>
      <c r="I99" s="3"/>
      <c r="J99" s="1"/>
      <c r="K99" s="1"/>
      <c r="L99" s="1"/>
      <c r="M99" s="1"/>
    </row>
    <row r="100" ht="15.75" customHeight="1">
      <c r="A100" s="1"/>
      <c r="B100" s="1"/>
      <c r="C100" s="1"/>
      <c r="D100" s="1"/>
      <c r="E100" s="1"/>
      <c r="F100" s="1"/>
      <c r="G100" s="3"/>
      <c r="H100" s="1"/>
      <c r="I100" s="3"/>
      <c r="J100" s="1"/>
      <c r="K100" s="1"/>
      <c r="L100" s="1"/>
      <c r="M1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4.43" defaultRowHeight="15.0" outlineLevelCol="1"/>
  <cols>
    <col customWidth="1" min="1" max="1" width="5.86"/>
    <col customWidth="1" min="2" max="2" width="26.43"/>
    <col customWidth="1" min="3" max="3" width="12.43" outlineLevel="1"/>
    <col customWidth="1" min="4" max="14" width="10.86" outlineLevel="1"/>
    <col customWidth="1" min="15" max="15" width="10.86"/>
    <col customWidth="1" min="16" max="16" width="13.14"/>
    <col customWidth="1" min="17" max="17" width="10.86"/>
    <col customWidth="1" hidden="1" min="18" max="18" width="14.0"/>
    <col customWidth="1" hidden="1" min="19" max="30" width="10.86"/>
    <col customWidth="1" min="31" max="36" width="10.86"/>
    <col customWidth="1" min="37" max="37" width="28.29"/>
    <col customWidth="1" min="38" max="41" width="12.71"/>
    <col customWidth="1" min="42" max="46" width="10.86"/>
  </cols>
  <sheetData>
    <row r="1" ht="13.5" customHeight="1">
      <c r="A1" s="24"/>
      <c r="B1" s="2" t="s">
        <v>20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5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</row>
    <row r="2" ht="14.25" customHeight="1">
      <c r="A2" s="24"/>
      <c r="B2" s="24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4"/>
      <c r="P2" s="25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7" t="s">
        <v>21</v>
      </c>
      <c r="AF2" s="28"/>
      <c r="AG2" s="27" t="s">
        <v>22</v>
      </c>
      <c r="AH2" s="28"/>
      <c r="AI2" s="29" t="s">
        <v>23</v>
      </c>
      <c r="AJ2" s="28"/>
      <c r="AK2" s="30" t="s">
        <v>24</v>
      </c>
      <c r="AL2" s="31" t="s">
        <v>25</v>
      </c>
      <c r="AM2" s="32"/>
      <c r="AN2" s="32"/>
      <c r="AO2" s="33"/>
      <c r="AP2" s="24"/>
      <c r="AQ2" s="24"/>
      <c r="AR2" s="24"/>
      <c r="AS2" s="24"/>
      <c r="AT2" s="24"/>
    </row>
    <row r="3" ht="14.25" customHeight="1">
      <c r="A3" s="24"/>
      <c r="B3" s="24"/>
      <c r="C3" s="34">
        <v>2.0</v>
      </c>
      <c r="D3" s="34">
        <v>3.0</v>
      </c>
      <c r="E3" s="34">
        <v>4.0</v>
      </c>
      <c r="F3" s="34">
        <v>5.0</v>
      </c>
      <c r="G3" s="34">
        <v>6.0</v>
      </c>
      <c r="H3" s="34">
        <v>7.0</v>
      </c>
      <c r="I3" s="34">
        <v>8.0</v>
      </c>
      <c r="J3" s="34">
        <v>9.0</v>
      </c>
      <c r="K3" s="34">
        <v>10.0</v>
      </c>
      <c r="L3" s="34">
        <v>11.0</v>
      </c>
      <c r="M3" s="34">
        <v>12.0</v>
      </c>
      <c r="N3" s="34">
        <v>13.0</v>
      </c>
      <c r="O3" s="24"/>
      <c r="P3" s="25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35"/>
      <c r="AF3" s="36"/>
      <c r="AG3" s="35"/>
      <c r="AH3" s="36"/>
      <c r="AI3" s="37"/>
      <c r="AJ3" s="38"/>
      <c r="AK3" s="39"/>
      <c r="AL3" s="27" t="s">
        <v>26</v>
      </c>
      <c r="AM3" s="28"/>
      <c r="AN3" s="27" t="s">
        <v>27</v>
      </c>
      <c r="AO3" s="28"/>
      <c r="AP3" s="24"/>
      <c r="AQ3" s="24"/>
      <c r="AR3" s="24"/>
      <c r="AS3" s="24"/>
      <c r="AT3" s="24"/>
    </row>
    <row r="4" ht="13.5" customHeight="1">
      <c r="A4" s="40"/>
      <c r="B4" s="41" t="s">
        <v>28</v>
      </c>
      <c r="C4" s="42">
        <v>46023.0</v>
      </c>
      <c r="D4" s="42">
        <v>46054.0</v>
      </c>
      <c r="E4" s="42">
        <v>46082.0</v>
      </c>
      <c r="F4" s="42">
        <v>46113.0</v>
      </c>
      <c r="G4" s="42">
        <v>46143.0</v>
      </c>
      <c r="H4" s="43">
        <v>46174.0</v>
      </c>
      <c r="I4" s="43">
        <v>46204.0</v>
      </c>
      <c r="J4" s="43">
        <v>46235.0</v>
      </c>
      <c r="K4" s="43">
        <v>46266.0</v>
      </c>
      <c r="L4" s="43">
        <v>46296.0</v>
      </c>
      <c r="M4" s="43">
        <v>46327.0</v>
      </c>
      <c r="N4" s="43">
        <v>46357.0</v>
      </c>
      <c r="O4" s="44" t="s">
        <v>19</v>
      </c>
      <c r="P4" s="25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45" t="s">
        <v>29</v>
      </c>
      <c r="AF4" s="46" t="s">
        <v>4</v>
      </c>
      <c r="AG4" s="45" t="s">
        <v>29</v>
      </c>
      <c r="AH4" s="46" t="s">
        <v>4</v>
      </c>
      <c r="AI4" s="47" t="s">
        <v>29</v>
      </c>
      <c r="AJ4" s="48" t="s">
        <v>4</v>
      </c>
      <c r="AK4" s="49"/>
      <c r="AL4" s="45" t="s">
        <v>29</v>
      </c>
      <c r="AM4" s="46" t="s">
        <v>4</v>
      </c>
      <c r="AN4" s="45" t="s">
        <v>29</v>
      </c>
      <c r="AO4" s="46" t="s">
        <v>4</v>
      </c>
      <c r="AP4" s="24"/>
      <c r="AQ4" s="24"/>
      <c r="AR4" s="24"/>
      <c r="AS4" s="24"/>
      <c r="AT4" s="24"/>
    </row>
    <row r="5" ht="13.5" customHeight="1">
      <c r="A5" s="24"/>
      <c r="B5" s="50" t="s">
        <v>30</v>
      </c>
      <c r="C5" s="51">
        <v>12.383028</v>
      </c>
      <c r="D5" s="51">
        <v>29.264589</v>
      </c>
      <c r="E5" s="51">
        <v>24.061369</v>
      </c>
      <c r="F5" s="51">
        <v>37.738603</v>
      </c>
      <c r="G5" s="51">
        <v>39.871111</v>
      </c>
      <c r="H5" s="51" t="str">
        <f t="shared" ref="H5:N5" si="1">VLOOKUP($B5,'[1]FCST MKT UNITED 26'!$B$4:$O$22,H$3,0)</f>
        <v>#REF!</v>
      </c>
      <c r="I5" s="51" t="str">
        <f t="shared" si="1"/>
        <v>#REF!</v>
      </c>
      <c r="J5" s="51" t="str">
        <f t="shared" si="1"/>
        <v>#REF!</v>
      </c>
      <c r="K5" s="51" t="str">
        <f t="shared" si="1"/>
        <v>#REF!</v>
      </c>
      <c r="L5" s="51" t="str">
        <f t="shared" si="1"/>
        <v>#REF!</v>
      </c>
      <c r="M5" s="51" t="str">
        <f t="shared" si="1"/>
        <v>#REF!</v>
      </c>
      <c r="N5" s="51" t="str">
        <f t="shared" si="1"/>
        <v>#REF!</v>
      </c>
      <c r="O5" s="51" t="str">
        <f t="shared" ref="O5:O6" si="3">+SUM(C5:N5)</f>
        <v>#REF!</v>
      </c>
      <c r="P5" s="25"/>
      <c r="Q5" s="52"/>
      <c r="R5" s="52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53">
        <v>464.3280512383132</v>
      </c>
      <c r="AF5" s="54" t="str">
        <f t="shared" ref="AF5:AF22" si="4">IF((+IFERROR((AE5/$AE$7),0))&lt;=-200%,"-200%",(+IFERROR((AE5/$AE$7),0)))</f>
        <v>96%</v>
      </c>
      <c r="AG5" s="53" t="str">
        <f t="shared" ref="AG5:AG6" si="5">VLOOKUP(AK5,$B$27:$O$45,14,0)</f>
        <v>  436.5 </v>
      </c>
      <c r="AH5" s="54" t="str">
        <f t="shared" ref="AH5:AH22" si="6">IF((+IFERROR((AG5/$AG$7),0))&lt;=-200%,"-200%",(+IFERROR((AG5/$AG$7),0)))</f>
        <v>87%</v>
      </c>
      <c r="AI5" s="55" t="str">
        <f t="shared" ref="AI5:AI6" si="7">VLOOKUP(AK5,$B$4:$O$22,14,0)</f>
        <v>#REF!</v>
      </c>
      <c r="AJ5" s="56" t="str">
        <f t="shared" ref="AJ5:AJ22" si="8">IF((+IFERROR((AI5/$AI$7),0))&lt;=-200%,"-200%",(+IFERROR((AI5/$AI$7),0)))</f>
        <v>0%</v>
      </c>
      <c r="AK5" s="57" t="s">
        <v>30</v>
      </c>
      <c r="AL5" s="58" t="str">
        <f t="shared" ref="AL5:AL22" si="9">+AI5-AG5</f>
        <v>#REF!</v>
      </c>
      <c r="AM5" s="54" t="str">
        <f t="shared" ref="AM5:AM15" si="10">IF((IFERROR(IF(ABS(AL5/AG5)&gt;=9.99,IF(AL5&gt;0,9.99,-9.99),AL5/ABS(AG5)),IF(AL5=0,0,AL5/ABS(AL5))))&lt;=-200%,"-200%",(IFERROR(IF(ABS(AL5/AG5)&gt;=9.99,IF(AL5&gt;0,9.99,-9.99),AL5/ABS(AG5)),IF(AL5=0,0,AL5/ABS(AL5)))))</f>
        <v>#REF!</v>
      </c>
      <c r="AN5" s="58" t="str">
        <f t="shared" ref="AN5:AN22" si="11">AI5-AE5</f>
        <v>#REF!</v>
      </c>
      <c r="AO5" s="54" t="str">
        <f t="shared" ref="AO5:AO15" si="12">IF((IFERROR(IF(ABS(AN5/AE5)&gt;=9.99,IF(AN5&gt;0,9.99,-9.99),AN5/ABS(AE5)),IF(AN5=0,0,AN5/ABS(AN5))))&lt;=-200%,"(200%)",(IFERROR(IF(ABS(AN5/AE5)&gt;=9.99,IF(AN5&gt;0,9.99,-9.99),AN5/ABS(AE5)),IF(AN5=0,0,AN5/ABS(AN5)))))</f>
        <v>#REF!</v>
      </c>
      <c r="AP5" s="24"/>
      <c r="AQ5" s="24"/>
      <c r="AR5" s="24"/>
      <c r="AS5" s="24"/>
      <c r="AT5" s="24"/>
    </row>
    <row r="6" ht="13.5" customHeight="1">
      <c r="A6" s="24"/>
      <c r="B6" s="50" t="s">
        <v>31</v>
      </c>
      <c r="C6" s="51">
        <v>4.68591</v>
      </c>
      <c r="D6" s="51">
        <v>3.04553177</v>
      </c>
      <c r="E6" s="51">
        <v>0.654968</v>
      </c>
      <c r="F6" s="51">
        <v>2.256396</v>
      </c>
      <c r="G6" s="51">
        <v>1.765896</v>
      </c>
      <c r="H6" s="51" t="str">
        <f t="shared" ref="H6:N6" si="2">VLOOKUP($B6,'[1]FCST MKT UNITED 26'!$B$4:$O$22,H$3,0)</f>
        <v>#REF!</v>
      </c>
      <c r="I6" s="51" t="str">
        <f t="shared" si="2"/>
        <v>#REF!</v>
      </c>
      <c r="J6" s="51" t="str">
        <f t="shared" si="2"/>
        <v>#REF!</v>
      </c>
      <c r="K6" s="51" t="str">
        <f t="shared" si="2"/>
        <v>#REF!</v>
      </c>
      <c r="L6" s="51" t="str">
        <f t="shared" si="2"/>
        <v>#REF!</v>
      </c>
      <c r="M6" s="51" t="str">
        <f t="shared" si="2"/>
        <v>#REF!</v>
      </c>
      <c r="N6" s="51" t="str">
        <f t="shared" si="2"/>
        <v>#REF!</v>
      </c>
      <c r="O6" s="51" t="str">
        <f t="shared" si="3"/>
        <v>#REF!</v>
      </c>
      <c r="P6" s="25"/>
      <c r="Q6" s="52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53">
        <v>18.33980681</v>
      </c>
      <c r="AF6" s="54" t="str">
        <f t="shared" si="4"/>
        <v>4%</v>
      </c>
      <c r="AG6" s="53" t="str">
        <f t="shared" si="5"/>
        <v>  65.0 </v>
      </c>
      <c r="AH6" s="54" t="str">
        <f t="shared" si="6"/>
        <v>13%</v>
      </c>
      <c r="AI6" s="55" t="str">
        <f t="shared" si="7"/>
        <v>#REF!</v>
      </c>
      <c r="AJ6" s="56" t="str">
        <f t="shared" si="8"/>
        <v>0%</v>
      </c>
      <c r="AK6" s="57" t="s">
        <v>31</v>
      </c>
      <c r="AL6" s="58" t="str">
        <f t="shared" si="9"/>
        <v>#REF!</v>
      </c>
      <c r="AM6" s="54" t="str">
        <f t="shared" si="10"/>
        <v>#REF!</v>
      </c>
      <c r="AN6" s="58" t="str">
        <f t="shared" si="11"/>
        <v>#REF!</v>
      </c>
      <c r="AO6" s="54" t="str">
        <f t="shared" si="12"/>
        <v>#REF!</v>
      </c>
      <c r="AP6" s="24"/>
      <c r="AQ6" s="24"/>
      <c r="AR6" s="24"/>
      <c r="AS6" s="24"/>
      <c r="AT6" s="24"/>
    </row>
    <row r="7" ht="13.5" customHeight="1">
      <c r="A7" s="24"/>
      <c r="B7" s="59" t="s">
        <v>32</v>
      </c>
      <c r="C7" s="60" t="str">
        <f t="shared" ref="C7:D7" si="13">C5+C6</f>
        <v>  17.1 </v>
      </c>
      <c r="D7" s="60" t="str">
        <f t="shared" si="13"/>
        <v>  32.3 </v>
      </c>
      <c r="E7" s="60" t="str">
        <f t="shared" ref="E7:O7" si="14">E6+E5</f>
        <v>  24.7 </v>
      </c>
      <c r="F7" s="60" t="str">
        <f t="shared" si="14"/>
        <v>  40.0 </v>
      </c>
      <c r="G7" s="60" t="str">
        <f t="shared" si="14"/>
        <v>  41.6 </v>
      </c>
      <c r="H7" s="60" t="str">
        <f t="shared" si="14"/>
        <v>#REF!</v>
      </c>
      <c r="I7" s="60" t="str">
        <f t="shared" si="14"/>
        <v>#REF!</v>
      </c>
      <c r="J7" s="60" t="str">
        <f t="shared" si="14"/>
        <v>#REF!</v>
      </c>
      <c r="K7" s="60" t="str">
        <f t="shared" si="14"/>
        <v>#REF!</v>
      </c>
      <c r="L7" s="60" t="str">
        <f t="shared" si="14"/>
        <v>#REF!</v>
      </c>
      <c r="M7" s="60" t="str">
        <f t="shared" si="14"/>
        <v>#REF!</v>
      </c>
      <c r="N7" s="60" t="str">
        <f t="shared" si="14"/>
        <v>#REF!</v>
      </c>
      <c r="O7" s="60" t="str">
        <f t="shared" si="14"/>
        <v>#REF!</v>
      </c>
      <c r="P7" s="25"/>
      <c r="Q7" s="52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61" t="str">
        <f>SUM(AE5:AE6)</f>
        <v>  482.7 </v>
      </c>
      <c r="AF7" s="62" t="str">
        <f t="shared" si="4"/>
        <v>100%</v>
      </c>
      <c r="AG7" s="61" t="str">
        <f>SUM(AG5:AG6)</f>
        <v>  501.5 </v>
      </c>
      <c r="AH7" s="62" t="str">
        <f t="shared" si="6"/>
        <v>100%</v>
      </c>
      <c r="AI7" s="63" t="str">
        <f>SUM(AI5:AI6)</f>
        <v>#REF!</v>
      </c>
      <c r="AJ7" s="64" t="str">
        <f t="shared" si="8"/>
        <v>0%</v>
      </c>
      <c r="AK7" s="65" t="s">
        <v>32</v>
      </c>
      <c r="AL7" s="66" t="str">
        <f t="shared" si="9"/>
        <v>#REF!</v>
      </c>
      <c r="AM7" s="62" t="str">
        <f t="shared" si="10"/>
        <v>#REF!</v>
      </c>
      <c r="AN7" s="66" t="str">
        <f t="shared" si="11"/>
        <v>#REF!</v>
      </c>
      <c r="AO7" s="62" t="str">
        <f t="shared" si="12"/>
        <v>#REF!</v>
      </c>
      <c r="AP7" s="24"/>
      <c r="AQ7" s="24"/>
      <c r="AR7" s="24"/>
      <c r="AS7" s="24"/>
      <c r="AT7" s="24"/>
    </row>
    <row r="8" ht="13.5" customHeight="1">
      <c r="A8" s="67" t="str">
        <f>#REF!/#REF!</f>
        <v>#REF!</v>
      </c>
      <c r="B8" s="68" t="s">
        <v>33</v>
      </c>
      <c r="C8" s="51">
        <v>-11.405566440000001</v>
      </c>
      <c r="D8" s="51">
        <v>-19.35960416</v>
      </c>
      <c r="E8" s="51">
        <v>-15.62009119</v>
      </c>
      <c r="F8" s="51">
        <v>-24.53232664</v>
      </c>
      <c r="G8" s="51">
        <v>-23.8825032</v>
      </c>
      <c r="H8" s="51" t="str">
        <f t="shared" ref="H8:N8" si="15">VLOOKUP($B8,'[1]FCST MKT UNITED 26'!$B$4:$O$22,H$3,0)</f>
        <v>#REF!</v>
      </c>
      <c r="I8" s="51" t="str">
        <f t="shared" si="15"/>
        <v>#REF!</v>
      </c>
      <c r="J8" s="51" t="str">
        <f t="shared" si="15"/>
        <v>#REF!</v>
      </c>
      <c r="K8" s="51" t="str">
        <f t="shared" si="15"/>
        <v>#REF!</v>
      </c>
      <c r="L8" s="51" t="str">
        <f t="shared" si="15"/>
        <v>#REF!</v>
      </c>
      <c r="M8" s="51" t="str">
        <f t="shared" si="15"/>
        <v>#REF!</v>
      </c>
      <c r="N8" s="51" t="str">
        <f t="shared" si="15"/>
        <v>#REF!</v>
      </c>
      <c r="O8" s="51" t="str">
        <f t="shared" ref="O8:O10" si="17">+SUM(C8:N8)</f>
        <v>#REF!</v>
      </c>
      <c r="P8" s="67"/>
      <c r="Q8" s="24"/>
      <c r="R8" s="69"/>
      <c r="S8" s="69"/>
      <c r="T8" s="69"/>
      <c r="U8" s="24"/>
      <c r="V8" s="24"/>
      <c r="W8" s="24"/>
      <c r="X8" s="24"/>
      <c r="Y8" s="24"/>
      <c r="Z8" s="24"/>
      <c r="AA8" s="24"/>
      <c r="AB8" s="24"/>
      <c r="AC8" s="24"/>
      <c r="AD8" s="24"/>
      <c r="AE8" s="53">
        <v>-336.06496683235326</v>
      </c>
      <c r="AF8" s="54" t="str">
        <f t="shared" si="4"/>
        <v>(70%)</v>
      </c>
      <c r="AG8" s="53" t="str">
        <f t="shared" ref="AG8:AG10" si="18">VLOOKUP(AK8,$B$27:$O$45,14,0)</f>
        <v>  (300.9)</v>
      </c>
      <c r="AH8" s="54" t="str">
        <f t="shared" si="6"/>
        <v>(60%)</v>
      </c>
      <c r="AI8" s="55" t="str">
        <f t="shared" ref="AI8:AI10" si="19">VLOOKUP(AK8,$B$4:$O$22,14,0)</f>
        <v>#REF!</v>
      </c>
      <c r="AJ8" s="56" t="str">
        <f t="shared" si="8"/>
        <v>0%</v>
      </c>
      <c r="AK8" s="57" t="s">
        <v>33</v>
      </c>
      <c r="AL8" s="58" t="str">
        <f t="shared" si="9"/>
        <v>#REF!</v>
      </c>
      <c r="AM8" s="54" t="str">
        <f t="shared" si="10"/>
        <v>#REF!</v>
      </c>
      <c r="AN8" s="58" t="str">
        <f t="shared" si="11"/>
        <v>#REF!</v>
      </c>
      <c r="AO8" s="54" t="str">
        <f t="shared" si="12"/>
        <v>#REF!</v>
      </c>
      <c r="AP8" s="24"/>
      <c r="AQ8" s="24"/>
      <c r="AR8" s="24"/>
      <c r="AS8" s="24"/>
      <c r="AT8" s="24"/>
    </row>
    <row r="9" ht="13.5" customHeight="1">
      <c r="A9" s="24"/>
      <c r="B9" s="68" t="s">
        <v>34</v>
      </c>
      <c r="C9" s="51">
        <v>-0.0424585</v>
      </c>
      <c r="D9" s="51">
        <v>-0.022924</v>
      </c>
      <c r="E9" s="51">
        <v>-0.04886821</v>
      </c>
      <c r="F9" s="51">
        <v>-0.04650403</v>
      </c>
      <c r="G9" s="51">
        <v>-0.013703799999999999</v>
      </c>
      <c r="H9" s="51" t="str">
        <f t="shared" ref="H9:N9" si="16">VLOOKUP($B9,'[1]FCST MKT UNITED 26'!$B$4:$O$22,H$3,0)</f>
        <v>#REF!</v>
      </c>
      <c r="I9" s="51" t="str">
        <f t="shared" si="16"/>
        <v>#REF!</v>
      </c>
      <c r="J9" s="51" t="str">
        <f t="shared" si="16"/>
        <v>#REF!</v>
      </c>
      <c r="K9" s="51" t="str">
        <f t="shared" si="16"/>
        <v>#REF!</v>
      </c>
      <c r="L9" s="51" t="str">
        <f t="shared" si="16"/>
        <v>#REF!</v>
      </c>
      <c r="M9" s="51" t="str">
        <f t="shared" si="16"/>
        <v>#REF!</v>
      </c>
      <c r="N9" s="51" t="str">
        <f t="shared" si="16"/>
        <v>#REF!</v>
      </c>
      <c r="O9" s="51" t="str">
        <f t="shared" si="17"/>
        <v>#REF!</v>
      </c>
      <c r="P9" s="25" t="s">
        <v>35</v>
      </c>
      <c r="Q9" s="52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53">
        <v>-0.44560217</v>
      </c>
      <c r="AF9" s="54" t="str">
        <f t="shared" si="4"/>
        <v>(0%)</v>
      </c>
      <c r="AG9" s="53" t="str">
        <f t="shared" si="18"/>
        <v>  (3.3)</v>
      </c>
      <c r="AH9" s="54" t="str">
        <f t="shared" si="6"/>
        <v>(1%)</v>
      </c>
      <c r="AI9" s="55" t="str">
        <f t="shared" si="19"/>
        <v>#REF!</v>
      </c>
      <c r="AJ9" s="56" t="str">
        <f t="shared" si="8"/>
        <v>0%</v>
      </c>
      <c r="AK9" s="57" t="s">
        <v>34</v>
      </c>
      <c r="AL9" s="58" t="str">
        <f t="shared" si="9"/>
        <v>#REF!</v>
      </c>
      <c r="AM9" s="54" t="str">
        <f t="shared" si="10"/>
        <v>#REF!</v>
      </c>
      <c r="AN9" s="58" t="str">
        <f t="shared" si="11"/>
        <v>#REF!</v>
      </c>
      <c r="AO9" s="54" t="str">
        <f t="shared" si="12"/>
        <v>#REF!</v>
      </c>
      <c r="AP9" s="24"/>
      <c r="AQ9" s="24"/>
      <c r="AR9" s="24"/>
      <c r="AS9" s="24"/>
      <c r="AT9" s="24"/>
    </row>
    <row r="10" ht="13.5" customHeight="1">
      <c r="A10" s="24"/>
      <c r="B10" s="68" t="s">
        <v>36</v>
      </c>
      <c r="C10" s="51">
        <v>0.0</v>
      </c>
      <c r="D10" s="51">
        <v>0.0</v>
      </c>
      <c r="E10" s="51">
        <v>0.0</v>
      </c>
      <c r="F10" s="51">
        <v>0.0</v>
      </c>
      <c r="G10" s="51">
        <v>0.0</v>
      </c>
      <c r="H10" s="51" t="str">
        <f t="shared" ref="H10:N10" si="20">VLOOKUP($B10,'[1]FCST MKT UNITED 26'!$B$4:$O$22,H$3,0)</f>
        <v>#REF!</v>
      </c>
      <c r="I10" s="51" t="str">
        <f t="shared" si="20"/>
        <v>#REF!</v>
      </c>
      <c r="J10" s="51" t="str">
        <f t="shared" si="20"/>
        <v>#REF!</v>
      </c>
      <c r="K10" s="51" t="str">
        <f t="shared" si="20"/>
        <v>#REF!</v>
      </c>
      <c r="L10" s="51" t="str">
        <f t="shared" si="20"/>
        <v>#REF!</v>
      </c>
      <c r="M10" s="51" t="str">
        <f t="shared" si="20"/>
        <v>#REF!</v>
      </c>
      <c r="N10" s="51" t="str">
        <f t="shared" si="20"/>
        <v>#REF!</v>
      </c>
      <c r="O10" s="51" t="str">
        <f t="shared" si="17"/>
        <v>#REF!</v>
      </c>
      <c r="P10" s="70"/>
      <c r="Q10" s="52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53">
        <v>0.0</v>
      </c>
      <c r="AF10" s="54" t="str">
        <f t="shared" si="4"/>
        <v>0%</v>
      </c>
      <c r="AG10" s="53" t="str">
        <f t="shared" si="18"/>
        <v>  (2.3)</v>
      </c>
      <c r="AH10" s="54" t="str">
        <f t="shared" si="6"/>
        <v>(0%)</v>
      </c>
      <c r="AI10" s="55" t="str">
        <f t="shared" si="19"/>
        <v>#REF!</v>
      </c>
      <c r="AJ10" s="56" t="str">
        <f t="shared" si="8"/>
        <v>0%</v>
      </c>
      <c r="AK10" s="57" t="s">
        <v>36</v>
      </c>
      <c r="AL10" s="58" t="str">
        <f t="shared" si="9"/>
        <v>#REF!</v>
      </c>
      <c r="AM10" s="54" t="str">
        <f t="shared" si="10"/>
        <v>#REF!</v>
      </c>
      <c r="AN10" s="58" t="str">
        <f t="shared" si="11"/>
        <v>#REF!</v>
      </c>
      <c r="AO10" s="54" t="str">
        <f t="shared" si="12"/>
        <v>#REF!</v>
      </c>
      <c r="AP10" s="24"/>
      <c r="AQ10" s="24"/>
      <c r="AR10" s="24"/>
      <c r="AS10" s="24"/>
      <c r="AT10" s="24"/>
    </row>
    <row r="11" ht="13.5" customHeight="1">
      <c r="A11" s="1"/>
      <c r="B11" s="65" t="s">
        <v>37</v>
      </c>
      <c r="C11" s="71" t="str">
        <f t="shared" ref="C11:O11" si="21">SUM(C8:C10)</f>
        <v>  (11.4)</v>
      </c>
      <c r="D11" s="71" t="str">
        <f t="shared" si="21"/>
        <v>  (19.4)</v>
      </c>
      <c r="E11" s="71" t="str">
        <f t="shared" si="21"/>
        <v>  (15.7)</v>
      </c>
      <c r="F11" s="71" t="str">
        <f t="shared" si="21"/>
        <v>  (24.6)</v>
      </c>
      <c r="G11" s="71" t="str">
        <f t="shared" si="21"/>
        <v>  (23.9)</v>
      </c>
      <c r="H11" s="71" t="str">
        <f t="shared" si="21"/>
        <v>#REF!</v>
      </c>
      <c r="I11" s="71" t="str">
        <f t="shared" si="21"/>
        <v>#REF!</v>
      </c>
      <c r="J11" s="71" t="str">
        <f t="shared" si="21"/>
        <v>#REF!</v>
      </c>
      <c r="K11" s="71" t="str">
        <f t="shared" si="21"/>
        <v>#REF!</v>
      </c>
      <c r="L11" s="71" t="str">
        <f t="shared" si="21"/>
        <v>#REF!</v>
      </c>
      <c r="M11" s="71" t="str">
        <f t="shared" si="21"/>
        <v>#REF!</v>
      </c>
      <c r="N11" s="71" t="str">
        <f t="shared" si="21"/>
        <v>#REF!</v>
      </c>
      <c r="O11" s="71" t="str">
        <f t="shared" si="21"/>
        <v>#REF!</v>
      </c>
      <c r="P11" s="25"/>
      <c r="Q11" s="52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72" t="str">
        <f>SUM(AE8:AE10)</f>
        <v>  (336.5)</v>
      </c>
      <c r="AF11" s="62" t="str">
        <f t="shared" si="4"/>
        <v>(70%)</v>
      </c>
      <c r="AG11" s="72" t="str">
        <f>SUM(AG8:AG10)</f>
        <v>  (306.5)</v>
      </c>
      <c r="AH11" s="62" t="str">
        <f t="shared" si="6"/>
        <v>(61%)</v>
      </c>
      <c r="AI11" s="63" t="str">
        <f>SUM(AI8:AI10)</f>
        <v>#REF!</v>
      </c>
      <c r="AJ11" s="64" t="str">
        <f t="shared" si="8"/>
        <v>0%</v>
      </c>
      <c r="AK11" s="65" t="s">
        <v>37</v>
      </c>
      <c r="AL11" s="66" t="str">
        <f t="shared" si="9"/>
        <v>#REF!</v>
      </c>
      <c r="AM11" s="62" t="str">
        <f t="shared" si="10"/>
        <v>#REF!</v>
      </c>
      <c r="AN11" s="66" t="str">
        <f t="shared" si="11"/>
        <v>#REF!</v>
      </c>
      <c r="AO11" s="62" t="str">
        <f t="shared" si="12"/>
        <v>#REF!</v>
      </c>
      <c r="AP11" s="24"/>
      <c r="AQ11" s="24"/>
      <c r="AR11" s="24"/>
      <c r="AS11" s="24"/>
      <c r="AT11" s="24"/>
    </row>
    <row r="12" ht="13.5" customHeight="1">
      <c r="A12" s="24"/>
      <c r="B12" s="59" t="s">
        <v>38</v>
      </c>
      <c r="C12" s="60" t="str">
        <f t="shared" ref="C12:O12" si="22">C7+C11</f>
        <v>  5.6 </v>
      </c>
      <c r="D12" s="60" t="str">
        <f t="shared" si="22"/>
        <v>  12.9 </v>
      </c>
      <c r="E12" s="60" t="str">
        <f t="shared" si="22"/>
        <v>  9.0 </v>
      </c>
      <c r="F12" s="60" t="str">
        <f t="shared" si="22"/>
        <v>  15.4 </v>
      </c>
      <c r="G12" s="60" t="str">
        <f t="shared" si="22"/>
        <v>  17.7 </v>
      </c>
      <c r="H12" s="60" t="str">
        <f t="shared" si="22"/>
        <v>#REF!</v>
      </c>
      <c r="I12" s="60" t="str">
        <f t="shared" si="22"/>
        <v>#REF!</v>
      </c>
      <c r="J12" s="60" t="str">
        <f t="shared" si="22"/>
        <v>#REF!</v>
      </c>
      <c r="K12" s="60" t="str">
        <f t="shared" si="22"/>
        <v>#REF!</v>
      </c>
      <c r="L12" s="60" t="str">
        <f t="shared" si="22"/>
        <v>#REF!</v>
      </c>
      <c r="M12" s="60" t="str">
        <f t="shared" si="22"/>
        <v>#REF!</v>
      </c>
      <c r="N12" s="60" t="str">
        <f t="shared" si="22"/>
        <v>#REF!</v>
      </c>
      <c r="O12" s="60" t="str">
        <f t="shared" si="22"/>
        <v>#REF!</v>
      </c>
      <c r="P12" s="25"/>
      <c r="Q12" s="52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73" t="str">
        <f>AE11+AE7</f>
        <v>  146.2 </v>
      </c>
      <c r="AF12" s="74" t="str">
        <f t="shared" si="4"/>
        <v>30%</v>
      </c>
      <c r="AG12" s="73" t="str">
        <f>AG7+AG11</f>
        <v>  195.0 </v>
      </c>
      <c r="AH12" s="74" t="str">
        <f t="shared" si="6"/>
        <v>39%</v>
      </c>
      <c r="AI12" s="73" t="str">
        <f>AI7+AI11</f>
        <v>#REF!</v>
      </c>
      <c r="AJ12" s="74" t="str">
        <f t="shared" si="8"/>
        <v>0%</v>
      </c>
      <c r="AK12" s="75" t="s">
        <v>38</v>
      </c>
      <c r="AL12" s="73" t="str">
        <f t="shared" si="9"/>
        <v>#REF!</v>
      </c>
      <c r="AM12" s="74" t="str">
        <f t="shared" si="10"/>
        <v>#REF!</v>
      </c>
      <c r="AN12" s="73" t="str">
        <f t="shared" si="11"/>
        <v>#REF!</v>
      </c>
      <c r="AO12" s="74" t="str">
        <f t="shared" si="12"/>
        <v>#REF!</v>
      </c>
      <c r="AP12" s="24"/>
      <c r="AQ12" s="24"/>
      <c r="AR12" s="24"/>
      <c r="AS12" s="24"/>
      <c r="AT12" s="24"/>
    </row>
    <row r="13" ht="13.5" customHeight="1">
      <c r="A13" s="24"/>
      <c r="B13" s="50" t="s">
        <v>39</v>
      </c>
      <c r="C13" s="51">
        <v>-3.8888815</v>
      </c>
      <c r="D13" s="51">
        <v>-3.6258446</v>
      </c>
      <c r="E13" s="51">
        <v>-3.8910686</v>
      </c>
      <c r="F13" s="51">
        <v>-3.8825815</v>
      </c>
      <c r="G13" s="51">
        <v>-3.8703072</v>
      </c>
      <c r="H13" s="51" t="str">
        <f t="shared" ref="H13:N13" si="23">VLOOKUP($B13,'[1]FCST MKT UNITED 26'!$B$4:$O$22,H$3,0)</f>
        <v>#REF!</v>
      </c>
      <c r="I13" s="51" t="str">
        <f t="shared" si="23"/>
        <v>#REF!</v>
      </c>
      <c r="J13" s="51" t="str">
        <f t="shared" si="23"/>
        <v>#REF!</v>
      </c>
      <c r="K13" s="51" t="str">
        <f t="shared" si="23"/>
        <v>#REF!</v>
      </c>
      <c r="L13" s="51" t="str">
        <f t="shared" si="23"/>
        <v>#REF!</v>
      </c>
      <c r="M13" s="51" t="str">
        <f t="shared" si="23"/>
        <v>#REF!</v>
      </c>
      <c r="N13" s="51" t="str">
        <f t="shared" si="23"/>
        <v>#REF!</v>
      </c>
      <c r="O13" s="51" t="str">
        <f t="shared" ref="O13:O20" si="25">+SUM(C13:N13)</f>
        <v>#REF!</v>
      </c>
      <c r="P13" s="25" t="s">
        <v>40</v>
      </c>
      <c r="Q13" s="52"/>
      <c r="R13" s="52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53">
        <v>-39.8181262966317</v>
      </c>
      <c r="AF13" s="54" t="str">
        <f t="shared" si="4"/>
        <v>(8%)</v>
      </c>
      <c r="AG13" s="53" t="str">
        <f t="shared" ref="AG13:AG20" si="26">VLOOKUP(AK13,$B$27:$O$45,14,0)</f>
        <v>  (49.6)</v>
      </c>
      <c r="AH13" s="54" t="str">
        <f t="shared" si="6"/>
        <v>(10%)</v>
      </c>
      <c r="AI13" s="55" t="str">
        <f t="shared" ref="AI13:AI20" si="27">VLOOKUP(AK13,$B$4:$O$22,14,0)</f>
        <v>#REF!</v>
      </c>
      <c r="AJ13" s="56" t="str">
        <f t="shared" si="8"/>
        <v>0%</v>
      </c>
      <c r="AK13" s="57" t="s">
        <v>39</v>
      </c>
      <c r="AL13" s="58" t="str">
        <f t="shared" si="9"/>
        <v>#REF!</v>
      </c>
      <c r="AM13" s="54" t="str">
        <f t="shared" si="10"/>
        <v>#REF!</v>
      </c>
      <c r="AN13" s="58" t="str">
        <f t="shared" si="11"/>
        <v>#REF!</v>
      </c>
      <c r="AO13" s="54" t="str">
        <f t="shared" si="12"/>
        <v>#REF!</v>
      </c>
      <c r="AP13" s="24"/>
      <c r="AQ13" s="24"/>
      <c r="AR13" s="24"/>
      <c r="AS13" s="24"/>
      <c r="AT13" s="24"/>
    </row>
    <row r="14" ht="13.5" customHeight="1">
      <c r="A14" s="24"/>
      <c r="B14" s="68" t="s">
        <v>41</v>
      </c>
      <c r="C14" s="51">
        <v>-0.5271211899999999</v>
      </c>
      <c r="D14" s="51">
        <v>-0.35311028000000005</v>
      </c>
      <c r="E14" s="51">
        <v>-0.09550295</v>
      </c>
      <c r="F14" s="51">
        <v>-0.2450474</v>
      </c>
      <c r="G14" s="51">
        <v>-0.24842095</v>
      </c>
      <c r="H14" s="51" t="str">
        <f t="shared" ref="H14:N14" si="24">VLOOKUP($B14,'[1]FCST MKT UNITED 26'!$B$4:$O$22,H$3,0)</f>
        <v>#REF!</v>
      </c>
      <c r="I14" s="51" t="str">
        <f t="shared" si="24"/>
        <v>#REF!</v>
      </c>
      <c r="J14" s="51" t="str">
        <f t="shared" si="24"/>
        <v>#REF!</v>
      </c>
      <c r="K14" s="51" t="str">
        <f t="shared" si="24"/>
        <v>#REF!</v>
      </c>
      <c r="L14" s="51" t="str">
        <f t="shared" si="24"/>
        <v>#REF!</v>
      </c>
      <c r="M14" s="51" t="str">
        <f t="shared" si="24"/>
        <v>#REF!</v>
      </c>
      <c r="N14" s="51" t="str">
        <f t="shared" si="24"/>
        <v>#REF!</v>
      </c>
      <c r="O14" s="51" t="str">
        <f t="shared" si="25"/>
        <v>#REF!</v>
      </c>
      <c r="P14" s="25" t="s">
        <v>42</v>
      </c>
      <c r="Q14" s="52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53">
        <v>-4.51407416</v>
      </c>
      <c r="AF14" s="54" t="str">
        <f t="shared" si="4"/>
        <v>(1%)</v>
      </c>
      <c r="AG14" s="53" t="str">
        <f t="shared" si="26"/>
        <v>  (4.8)</v>
      </c>
      <c r="AH14" s="54" t="str">
        <f t="shared" si="6"/>
        <v>(1%)</v>
      </c>
      <c r="AI14" s="55" t="str">
        <f t="shared" si="27"/>
        <v>#REF!</v>
      </c>
      <c r="AJ14" s="56" t="str">
        <f t="shared" si="8"/>
        <v>0%</v>
      </c>
      <c r="AK14" s="57" t="s">
        <v>41</v>
      </c>
      <c r="AL14" s="58" t="str">
        <f t="shared" si="9"/>
        <v>#REF!</v>
      </c>
      <c r="AM14" s="54" t="str">
        <f t="shared" si="10"/>
        <v>#REF!</v>
      </c>
      <c r="AN14" s="58" t="str">
        <f t="shared" si="11"/>
        <v>#REF!</v>
      </c>
      <c r="AO14" s="54" t="str">
        <f t="shared" si="12"/>
        <v>#REF!</v>
      </c>
      <c r="AP14" s="24"/>
      <c r="AQ14" s="24"/>
      <c r="AR14" s="24"/>
      <c r="AS14" s="24"/>
      <c r="AT14" s="24"/>
    </row>
    <row r="15" ht="13.5" customHeight="1">
      <c r="A15" s="24"/>
      <c r="B15" s="68" t="s">
        <v>43</v>
      </c>
      <c r="C15" s="51">
        <v>-0.07</v>
      </c>
      <c r="D15" s="51">
        <v>-0.07403134</v>
      </c>
      <c r="E15" s="51">
        <v>-0.08</v>
      </c>
      <c r="F15" s="51">
        <v>-0.086</v>
      </c>
      <c r="G15" s="51">
        <v>-0.08777841</v>
      </c>
      <c r="H15" s="51" t="str">
        <f t="shared" ref="H15:N15" si="28">VLOOKUP($B15,'[1]FCST MKT UNITED 26'!$B$4:$O$22,H$3,0)</f>
        <v>#REF!</v>
      </c>
      <c r="I15" s="51" t="str">
        <f t="shared" si="28"/>
        <v>#REF!</v>
      </c>
      <c r="J15" s="51" t="str">
        <f t="shared" si="28"/>
        <v>#REF!</v>
      </c>
      <c r="K15" s="51" t="str">
        <f t="shared" si="28"/>
        <v>#REF!</v>
      </c>
      <c r="L15" s="51" t="str">
        <f t="shared" si="28"/>
        <v>#REF!</v>
      </c>
      <c r="M15" s="51" t="str">
        <f t="shared" si="28"/>
        <v>#REF!</v>
      </c>
      <c r="N15" s="51" t="str">
        <f t="shared" si="28"/>
        <v>#REF!</v>
      </c>
      <c r="O15" s="51" t="str">
        <f t="shared" si="25"/>
        <v>#REF!</v>
      </c>
      <c r="P15" s="25" t="s">
        <v>42</v>
      </c>
      <c r="Q15" s="52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53">
        <v>-2.1747092799999996</v>
      </c>
      <c r="AF15" s="54" t="str">
        <f t="shared" si="4"/>
        <v>(0%)</v>
      </c>
      <c r="AG15" s="53" t="str">
        <f t="shared" si="26"/>
        <v>  (2.3)</v>
      </c>
      <c r="AH15" s="54" t="str">
        <f t="shared" si="6"/>
        <v>(0%)</v>
      </c>
      <c r="AI15" s="55" t="str">
        <f t="shared" si="27"/>
        <v>#REF!</v>
      </c>
      <c r="AJ15" s="56" t="str">
        <f t="shared" si="8"/>
        <v>0%</v>
      </c>
      <c r="AK15" s="57" t="s">
        <v>43</v>
      </c>
      <c r="AL15" s="58" t="str">
        <f t="shared" si="9"/>
        <v>#REF!</v>
      </c>
      <c r="AM15" s="54" t="str">
        <f t="shared" si="10"/>
        <v>#REF!</v>
      </c>
      <c r="AN15" s="58" t="str">
        <f t="shared" si="11"/>
        <v>#REF!</v>
      </c>
      <c r="AO15" s="54" t="str">
        <f t="shared" si="12"/>
        <v>#REF!</v>
      </c>
      <c r="AP15" s="24"/>
      <c r="AQ15" s="24"/>
      <c r="AR15" s="24"/>
      <c r="AS15" s="24"/>
      <c r="AT15" s="24"/>
    </row>
    <row r="16" ht="13.5" customHeight="1">
      <c r="A16" s="24"/>
      <c r="B16" s="68" t="s">
        <v>44</v>
      </c>
      <c r="C16" s="51">
        <v>-0.39482286</v>
      </c>
      <c r="D16" s="51">
        <v>-0.41314635</v>
      </c>
      <c r="E16" s="51">
        <v>-0.42126174</v>
      </c>
      <c r="F16" s="51">
        <v>-0.41080176</v>
      </c>
      <c r="G16" s="51">
        <v>-0.4137786</v>
      </c>
      <c r="H16" s="51" t="str">
        <f t="shared" ref="H16:N16" si="29">VLOOKUP($B16,'[1]FCST MKT UNITED 26'!$B$4:$O$22,H$3,0)</f>
        <v>#REF!</v>
      </c>
      <c r="I16" s="51" t="str">
        <f t="shared" si="29"/>
        <v>#REF!</v>
      </c>
      <c r="J16" s="51" t="str">
        <f t="shared" si="29"/>
        <v>#REF!</v>
      </c>
      <c r="K16" s="51" t="str">
        <f t="shared" si="29"/>
        <v>#REF!</v>
      </c>
      <c r="L16" s="51" t="str">
        <f t="shared" si="29"/>
        <v>#REF!</v>
      </c>
      <c r="M16" s="51" t="str">
        <f t="shared" si="29"/>
        <v>#REF!</v>
      </c>
      <c r="N16" s="51" t="str">
        <f t="shared" si="29"/>
        <v>#REF!</v>
      </c>
      <c r="O16" s="51" t="str">
        <f t="shared" si="25"/>
        <v>#REF!</v>
      </c>
      <c r="P16" s="25" t="s">
        <v>40</v>
      </c>
      <c r="Q16" s="52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53">
        <v>-3.605782941017401</v>
      </c>
      <c r="AF16" s="54" t="str">
        <f t="shared" si="4"/>
        <v>(1%)</v>
      </c>
      <c r="AG16" s="53" t="str">
        <f t="shared" si="26"/>
        <v>  (4.4)</v>
      </c>
      <c r="AH16" s="54" t="str">
        <f t="shared" si="6"/>
        <v>(1%)</v>
      </c>
      <c r="AI16" s="55" t="str">
        <f t="shared" si="27"/>
        <v>#REF!</v>
      </c>
      <c r="AJ16" s="56" t="str">
        <f t="shared" si="8"/>
        <v>0%</v>
      </c>
      <c r="AK16" s="57" t="s">
        <v>44</v>
      </c>
      <c r="AL16" s="58" t="str">
        <f t="shared" si="9"/>
        <v>#REF!</v>
      </c>
      <c r="AM16" s="54" t="str">
        <f>IF((IFERROR(IF(ABS(AL16/AG16)&gt;=9.99,IF(AL16&gt;0,9.99,-9.99),AL16/ABS(AG16)),IF(AL16=0,0,AL16/ABS(AL16))))&lt;=-200%,"(200%)",(IFERROR(IF(ABS(AL16/AG16)&gt;=9.99,IF(AL16&gt;0,9.99,-9.99),AL16/ABS(AG16)),IF(AL16=0,0,AL16/ABS(AL16)))))*1</f>
        <v>#REF!</v>
      </c>
      <c r="AN16" s="58" t="str">
        <f t="shared" si="11"/>
        <v>#REF!</v>
      </c>
      <c r="AO16" s="54" t="str">
        <f>IF((IFERROR(IF(ABS(AN16/AE16)&gt;=9.99,IF(AN16&gt;0,9.99,-9.99),AN16/ABS(AE16)),IF(AN16=0,0,AN16/ABS(AN16))))&lt;=-200%,"(200%)",(IFERROR(IF(ABS(AN16/AE16)&gt;=9.99,IF(AN16&gt;0,9.99,-9.99),AN16/ABS(AE16)),IF(AN16=0,0,AN16/ABS(AN16)))))*1</f>
        <v>#REF!</v>
      </c>
      <c r="AP16" s="24"/>
      <c r="AQ16" s="24"/>
      <c r="AR16" s="24"/>
      <c r="AS16" s="24"/>
      <c r="AT16" s="24"/>
    </row>
    <row r="17" ht="13.5" customHeight="1">
      <c r="A17" s="24"/>
      <c r="B17" s="68" t="s">
        <v>45</v>
      </c>
      <c r="C17" s="51">
        <v>-0.28884765999999995</v>
      </c>
      <c r="D17" s="51">
        <v>-0.2803609</v>
      </c>
      <c r="E17" s="51">
        <v>-0.27368623999999997</v>
      </c>
      <c r="F17" s="51">
        <v>-0.28761457</v>
      </c>
      <c r="G17" s="51">
        <v>-0.29114064</v>
      </c>
      <c r="H17" s="51" t="str">
        <f t="shared" ref="H17:N17" si="30">VLOOKUP($B17,'[1]FCST MKT UNITED 26'!$B$4:$O$22,H$3,0)</f>
        <v>#REF!</v>
      </c>
      <c r="I17" s="51" t="str">
        <f t="shared" si="30"/>
        <v>#REF!</v>
      </c>
      <c r="J17" s="51" t="str">
        <f t="shared" si="30"/>
        <v>#REF!</v>
      </c>
      <c r="K17" s="51" t="str">
        <f t="shared" si="30"/>
        <v>#REF!</v>
      </c>
      <c r="L17" s="51" t="str">
        <f t="shared" si="30"/>
        <v>#REF!</v>
      </c>
      <c r="M17" s="51" t="str">
        <f t="shared" si="30"/>
        <v>#REF!</v>
      </c>
      <c r="N17" s="51" t="str">
        <f t="shared" si="30"/>
        <v>#REF!</v>
      </c>
      <c r="O17" s="51" t="str">
        <f t="shared" si="25"/>
        <v>#REF!</v>
      </c>
      <c r="P17" s="25" t="s">
        <v>40</v>
      </c>
      <c r="Q17" s="52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53">
        <v>-2.7181251599999996</v>
      </c>
      <c r="AF17" s="54" t="str">
        <f t="shared" si="4"/>
        <v>(1%)</v>
      </c>
      <c r="AG17" s="53" t="str">
        <f t="shared" si="26"/>
        <v>  (2.6)</v>
      </c>
      <c r="AH17" s="54" t="str">
        <f t="shared" si="6"/>
        <v>(1%)</v>
      </c>
      <c r="AI17" s="55" t="str">
        <f t="shared" si="27"/>
        <v>#REF!</v>
      </c>
      <c r="AJ17" s="56" t="str">
        <f t="shared" si="8"/>
        <v>0%</v>
      </c>
      <c r="AK17" s="57" t="s">
        <v>45</v>
      </c>
      <c r="AL17" s="58" t="str">
        <f t="shared" si="9"/>
        <v>#REF!</v>
      </c>
      <c r="AM17" s="54" t="str">
        <f t="shared" ref="AM17:AM22" si="32">IF((IFERROR(IF(ABS(AL17/AG17)&gt;=9.99,IF(AL17&gt;0,9.99,-9.99),AL17/ABS(AG17)),IF(AL17=0,0,AL17/ABS(AL17))))&lt;=-200%,"-200%",(IFERROR(IF(ABS(AL17/AG17)&gt;=9.99,IF(AL17&gt;0,9.99,-9.99),AL17/ABS(AG17)),IF(AL17=0,0,AL17/ABS(AL17)))))</f>
        <v>#REF!</v>
      </c>
      <c r="AN17" s="58" t="str">
        <f t="shared" si="11"/>
        <v>#REF!</v>
      </c>
      <c r="AO17" s="54" t="str">
        <f t="shared" ref="AO17:AO22" si="33">IF((IFERROR(IF(ABS(AN17/AE17)&gt;=9.99,IF(AN17&gt;0,9.99,-9.99),AN17/ABS(AE17)),IF(AN17=0,0,AN17/ABS(AN17))))&lt;=-200%,"(200%)",(IFERROR(IF(ABS(AN17/AE17)&gt;=9.99,IF(AN17&gt;0,9.99,-9.99),AN17/ABS(AE17)),IF(AN17=0,0,AN17/ABS(AN17)))))</f>
        <v>#REF!</v>
      </c>
      <c r="AP17" s="24"/>
      <c r="AQ17" s="24"/>
      <c r="AR17" s="24"/>
      <c r="AS17" s="24"/>
      <c r="AT17" s="24"/>
    </row>
    <row r="18" ht="13.5" customHeight="1">
      <c r="A18" s="24"/>
      <c r="B18" s="68" t="s">
        <v>46</v>
      </c>
      <c r="C18" s="51">
        <v>-1.6580000000000002E-4</v>
      </c>
      <c r="D18" s="51">
        <v>-1.688E-4</v>
      </c>
      <c r="E18" s="51">
        <v>-1.688E-4</v>
      </c>
      <c r="F18" s="51">
        <v>-1.688E-4</v>
      </c>
      <c r="G18" s="51">
        <v>-1.687E-4</v>
      </c>
      <c r="H18" s="51" t="str">
        <f t="shared" ref="H18:N18" si="31">VLOOKUP($B18,'[1]FCST MKT UNITED 26'!$B$4:$O$22,H$3,0)</f>
        <v>#REF!</v>
      </c>
      <c r="I18" s="51" t="str">
        <f t="shared" si="31"/>
        <v>#REF!</v>
      </c>
      <c r="J18" s="51" t="str">
        <f t="shared" si="31"/>
        <v>#REF!</v>
      </c>
      <c r="K18" s="51" t="str">
        <f t="shared" si="31"/>
        <v>#REF!</v>
      </c>
      <c r="L18" s="51" t="str">
        <f t="shared" si="31"/>
        <v>#REF!</v>
      </c>
      <c r="M18" s="51" t="str">
        <f t="shared" si="31"/>
        <v>#REF!</v>
      </c>
      <c r="N18" s="51" t="str">
        <f t="shared" si="31"/>
        <v>#REF!</v>
      </c>
      <c r="O18" s="51" t="str">
        <f t="shared" si="25"/>
        <v>#REF!</v>
      </c>
      <c r="P18" s="25" t="s">
        <v>40</v>
      </c>
      <c r="Q18" s="52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53">
        <v>-0.003878325</v>
      </c>
      <c r="AF18" s="54" t="str">
        <f t="shared" si="4"/>
        <v>(0%)</v>
      </c>
      <c r="AG18" s="53" t="str">
        <f t="shared" si="26"/>
        <v>  (0.1)</v>
      </c>
      <c r="AH18" s="54" t="str">
        <f t="shared" si="6"/>
        <v>(0%)</v>
      </c>
      <c r="AI18" s="55" t="str">
        <f t="shared" si="27"/>
        <v>#REF!</v>
      </c>
      <c r="AJ18" s="56" t="str">
        <f t="shared" si="8"/>
        <v>0%</v>
      </c>
      <c r="AK18" s="57" t="s">
        <v>46</v>
      </c>
      <c r="AL18" s="58" t="str">
        <f t="shared" si="9"/>
        <v>#REF!</v>
      </c>
      <c r="AM18" s="54" t="str">
        <f t="shared" si="32"/>
        <v>#REF!</v>
      </c>
      <c r="AN18" s="58" t="str">
        <f t="shared" si="11"/>
        <v>#REF!</v>
      </c>
      <c r="AO18" s="54" t="str">
        <f t="shared" si="33"/>
        <v>#REF!</v>
      </c>
      <c r="AP18" s="24"/>
      <c r="AQ18" s="24"/>
      <c r="AR18" s="24"/>
      <c r="AS18" s="24"/>
      <c r="AT18" s="24"/>
    </row>
    <row r="19" ht="13.5" customHeight="1">
      <c r="A19" s="24"/>
      <c r="B19" s="68" t="s">
        <v>47</v>
      </c>
      <c r="C19" s="51">
        <v>-0.5250295</v>
      </c>
      <c r="D19" s="51">
        <v>-0.4645698</v>
      </c>
      <c r="E19" s="51">
        <v>-0.39021490000000003</v>
      </c>
      <c r="F19" s="51">
        <v>-0.46456917999999997</v>
      </c>
      <c r="G19" s="51">
        <v>-0.41851421</v>
      </c>
      <c r="H19" s="51" t="str">
        <f t="shared" ref="H19:N19" si="34">VLOOKUP($B19,'[1]FCST MKT UNITED 26'!$B$4:$O$22,H$3,0)</f>
        <v>#REF!</v>
      </c>
      <c r="I19" s="51" t="str">
        <f t="shared" si="34"/>
        <v>#REF!</v>
      </c>
      <c r="J19" s="51" t="str">
        <f t="shared" si="34"/>
        <v>#REF!</v>
      </c>
      <c r="K19" s="51" t="str">
        <f t="shared" si="34"/>
        <v>#REF!</v>
      </c>
      <c r="L19" s="51" t="str">
        <f t="shared" si="34"/>
        <v>#REF!</v>
      </c>
      <c r="M19" s="51" t="str">
        <f t="shared" si="34"/>
        <v>#REF!</v>
      </c>
      <c r="N19" s="51" t="str">
        <f t="shared" si="34"/>
        <v>#REF!</v>
      </c>
      <c r="O19" s="51" t="str">
        <f t="shared" si="25"/>
        <v>#REF!</v>
      </c>
      <c r="P19" s="25" t="s">
        <v>40</v>
      </c>
      <c r="Q19" s="52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53">
        <v>-6.03219426</v>
      </c>
      <c r="AF19" s="54" t="str">
        <f t="shared" si="4"/>
        <v>(1%)</v>
      </c>
      <c r="AG19" s="53" t="str">
        <f t="shared" si="26"/>
        <v>  (6.1)</v>
      </c>
      <c r="AH19" s="54" t="str">
        <f t="shared" si="6"/>
        <v>(1%)</v>
      </c>
      <c r="AI19" s="55" t="str">
        <f t="shared" si="27"/>
        <v>#REF!</v>
      </c>
      <c r="AJ19" s="56" t="str">
        <f t="shared" si="8"/>
        <v>0%</v>
      </c>
      <c r="AK19" s="57" t="s">
        <v>47</v>
      </c>
      <c r="AL19" s="58" t="str">
        <f t="shared" si="9"/>
        <v>#REF!</v>
      </c>
      <c r="AM19" s="54" t="str">
        <f t="shared" si="32"/>
        <v>#REF!</v>
      </c>
      <c r="AN19" s="58" t="str">
        <f t="shared" si="11"/>
        <v>#REF!</v>
      </c>
      <c r="AO19" s="54" t="str">
        <f t="shared" si="33"/>
        <v>#REF!</v>
      </c>
      <c r="AP19" s="24"/>
      <c r="AQ19" s="24"/>
      <c r="AR19" s="24"/>
      <c r="AS19" s="24"/>
      <c r="AT19" s="24"/>
    </row>
    <row r="20" ht="13.5" customHeight="1">
      <c r="A20" s="51"/>
      <c r="B20" s="68" t="s">
        <v>48</v>
      </c>
      <c r="C20" s="51">
        <v>-1.3179256000000001</v>
      </c>
      <c r="D20" s="51">
        <v>-1.46885173</v>
      </c>
      <c r="E20" s="51">
        <v>-1.34275748</v>
      </c>
      <c r="F20" s="51">
        <v>-1.28781304818316</v>
      </c>
      <c r="G20" s="51">
        <v>-1.39054877181424</v>
      </c>
      <c r="H20" s="51" t="str">
        <f t="shared" ref="H20:N20" si="35">VLOOKUP($B20,'[1]FCST MKT UNITED 26'!$B$4:$O$22,H$3,0)</f>
        <v>#REF!</v>
      </c>
      <c r="I20" s="51" t="str">
        <f t="shared" si="35"/>
        <v>#REF!</v>
      </c>
      <c r="J20" s="51" t="str">
        <f t="shared" si="35"/>
        <v>#REF!</v>
      </c>
      <c r="K20" s="51" t="str">
        <f t="shared" si="35"/>
        <v>#REF!</v>
      </c>
      <c r="L20" s="51" t="str">
        <f t="shared" si="35"/>
        <v>#REF!</v>
      </c>
      <c r="M20" s="51" t="str">
        <f t="shared" si="35"/>
        <v>#REF!</v>
      </c>
      <c r="N20" s="51" t="str">
        <f t="shared" si="35"/>
        <v>#REF!</v>
      </c>
      <c r="O20" s="51" t="str">
        <f t="shared" si="25"/>
        <v>#REF!</v>
      </c>
      <c r="P20" s="25" t="s">
        <v>42</v>
      </c>
      <c r="Q20" s="52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53">
        <v>-17.246627583386832</v>
      </c>
      <c r="AF20" s="54" t="str">
        <f t="shared" si="4"/>
        <v>(4%)</v>
      </c>
      <c r="AG20" s="53" t="str">
        <f t="shared" si="26"/>
        <v>  (17.8)</v>
      </c>
      <c r="AH20" s="54" t="str">
        <f t="shared" si="6"/>
        <v>(4%)</v>
      </c>
      <c r="AI20" s="55" t="str">
        <f t="shared" si="27"/>
        <v>#REF!</v>
      </c>
      <c r="AJ20" s="56" t="str">
        <f t="shared" si="8"/>
        <v>0%</v>
      </c>
      <c r="AK20" s="57" t="s">
        <v>48</v>
      </c>
      <c r="AL20" s="58" t="str">
        <f t="shared" si="9"/>
        <v>#REF!</v>
      </c>
      <c r="AM20" s="54" t="str">
        <f t="shared" si="32"/>
        <v>#REF!</v>
      </c>
      <c r="AN20" s="58" t="str">
        <f t="shared" si="11"/>
        <v>#REF!</v>
      </c>
      <c r="AO20" s="54" t="str">
        <f t="shared" si="33"/>
        <v>#REF!</v>
      </c>
      <c r="AP20" s="24"/>
      <c r="AQ20" s="24"/>
      <c r="AR20" s="24"/>
      <c r="AS20" s="24"/>
      <c r="AT20" s="24"/>
    </row>
    <row r="21" ht="13.5" customHeight="1">
      <c r="A21" s="24"/>
      <c r="B21" s="59" t="s">
        <v>49</v>
      </c>
      <c r="C21" s="60" t="str">
        <f t="shared" ref="C21:O21" si="36">+SUM(C13:C20)</f>
        <v>  (7.0)</v>
      </c>
      <c r="D21" s="60" t="str">
        <f t="shared" si="36"/>
        <v>  (6.7)</v>
      </c>
      <c r="E21" s="60" t="str">
        <f t="shared" si="36"/>
        <v>  (6.5)</v>
      </c>
      <c r="F21" s="60" t="str">
        <f t="shared" si="36"/>
        <v>  (6.7)</v>
      </c>
      <c r="G21" s="60" t="str">
        <f t="shared" si="36"/>
        <v>  (6.7)</v>
      </c>
      <c r="H21" s="60" t="str">
        <f t="shared" si="36"/>
        <v>#REF!</v>
      </c>
      <c r="I21" s="60" t="str">
        <f t="shared" si="36"/>
        <v>#REF!</v>
      </c>
      <c r="J21" s="60" t="str">
        <f t="shared" si="36"/>
        <v>#REF!</v>
      </c>
      <c r="K21" s="60" t="str">
        <f t="shared" si="36"/>
        <v>#REF!</v>
      </c>
      <c r="L21" s="60" t="str">
        <f t="shared" si="36"/>
        <v>#REF!</v>
      </c>
      <c r="M21" s="60" t="str">
        <f t="shared" si="36"/>
        <v>#REF!</v>
      </c>
      <c r="N21" s="60" t="str">
        <f t="shared" si="36"/>
        <v>#REF!</v>
      </c>
      <c r="O21" s="60" t="str">
        <f t="shared" si="36"/>
        <v>#REF!</v>
      </c>
      <c r="P21" s="25"/>
      <c r="Q21" s="52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73" t="str">
        <f>+SUM(AE13:AE20)</f>
        <v>  (76.1)</v>
      </c>
      <c r="AF21" s="76" t="str">
        <f t="shared" si="4"/>
        <v>(16%)</v>
      </c>
      <c r="AG21" s="73" t="str">
        <f>+SUM(AG13:AG20)</f>
        <v>  (87.8)</v>
      </c>
      <c r="AH21" s="74" t="str">
        <f t="shared" si="6"/>
        <v>(18%)</v>
      </c>
      <c r="AI21" s="73" t="str">
        <f>+SUM(AI13:AI20)</f>
        <v>#REF!</v>
      </c>
      <c r="AJ21" s="74" t="str">
        <f t="shared" si="8"/>
        <v>0%</v>
      </c>
      <c r="AK21" s="75" t="s">
        <v>49</v>
      </c>
      <c r="AL21" s="73" t="str">
        <f t="shared" si="9"/>
        <v>#REF!</v>
      </c>
      <c r="AM21" s="74" t="str">
        <f t="shared" si="32"/>
        <v>#REF!</v>
      </c>
      <c r="AN21" s="73" t="str">
        <f t="shared" si="11"/>
        <v>#REF!</v>
      </c>
      <c r="AO21" s="74" t="str">
        <f t="shared" si="33"/>
        <v>#REF!</v>
      </c>
      <c r="AP21" s="24"/>
      <c r="AQ21" s="24"/>
      <c r="AR21" s="24"/>
      <c r="AS21" s="24"/>
      <c r="AT21" s="24"/>
    </row>
    <row r="22" ht="13.5" customHeight="1">
      <c r="A22" s="24"/>
      <c r="B22" s="77" t="s">
        <v>50</v>
      </c>
      <c r="C22" s="78" t="str">
        <f t="shared" ref="C22:O22" si="37">C12+C21</f>
        <v>  (1.4)</v>
      </c>
      <c r="D22" s="78" t="str">
        <f t="shared" si="37"/>
        <v>  6.2 </v>
      </c>
      <c r="E22" s="78" t="str">
        <f t="shared" si="37"/>
        <v>  2.6 </v>
      </c>
      <c r="F22" s="78" t="str">
        <f t="shared" si="37"/>
        <v>  8.8 </v>
      </c>
      <c r="G22" s="78" t="str">
        <f t="shared" si="37"/>
        <v>  11.0 </v>
      </c>
      <c r="H22" s="79" t="str">
        <f t="shared" si="37"/>
        <v>#REF!</v>
      </c>
      <c r="I22" s="79" t="str">
        <f t="shared" si="37"/>
        <v>#REF!</v>
      </c>
      <c r="J22" s="79" t="str">
        <f t="shared" si="37"/>
        <v>#REF!</v>
      </c>
      <c r="K22" s="79" t="str">
        <f t="shared" si="37"/>
        <v>#REF!</v>
      </c>
      <c r="L22" s="79" t="str">
        <f t="shared" si="37"/>
        <v>#REF!</v>
      </c>
      <c r="M22" s="79" t="str">
        <f t="shared" si="37"/>
        <v>#REF!</v>
      </c>
      <c r="N22" s="79" t="str">
        <f t="shared" si="37"/>
        <v>#REF!</v>
      </c>
      <c r="O22" s="79" t="str">
        <f t="shared" si="37"/>
        <v>#REF!</v>
      </c>
      <c r="P22" s="25"/>
      <c r="Q22" s="52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80" t="str">
        <f>+AE21+AE12</f>
        <v>  70.0 </v>
      </c>
      <c r="AF22" s="81" t="str">
        <f t="shared" si="4"/>
        <v>15%</v>
      </c>
      <c r="AG22" s="80" t="str">
        <f>AG12+AG21</f>
        <v>  107.2 </v>
      </c>
      <c r="AH22" s="82" t="str">
        <f t="shared" si="6"/>
        <v>21%</v>
      </c>
      <c r="AI22" s="83" t="str">
        <f>AI12+AI21</f>
        <v>#REF!</v>
      </c>
      <c r="AJ22" s="84" t="str">
        <f t="shared" si="8"/>
        <v>0%</v>
      </c>
      <c r="AK22" s="85" t="s">
        <v>51</v>
      </c>
      <c r="AL22" s="80" t="str">
        <f t="shared" si="9"/>
        <v>#REF!</v>
      </c>
      <c r="AM22" s="82" t="str">
        <f t="shared" si="32"/>
        <v>#REF!</v>
      </c>
      <c r="AN22" s="80" t="str">
        <f t="shared" si="11"/>
        <v>#REF!</v>
      </c>
      <c r="AO22" s="82" t="str">
        <f t="shared" si="33"/>
        <v>#REF!</v>
      </c>
      <c r="AP22" s="24"/>
      <c r="AQ22" s="24"/>
      <c r="AR22" s="24"/>
      <c r="AS22" s="24"/>
      <c r="AT22" s="24"/>
    </row>
    <row r="23" ht="8.25" customHeight="1">
      <c r="A23" s="24"/>
      <c r="B23" s="86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25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</row>
    <row r="24" ht="13.5" customHeight="1">
      <c r="A24" s="24"/>
      <c r="B24" s="59" t="s">
        <v>52</v>
      </c>
      <c r="C24" s="88" t="str">
        <f t="shared" ref="C24:O24" si="38">C22/C7</f>
        <v>(8%)</v>
      </c>
      <c r="D24" s="88" t="str">
        <f t="shared" si="38"/>
        <v>19%</v>
      </c>
      <c r="E24" s="88" t="str">
        <f t="shared" si="38"/>
        <v>10%</v>
      </c>
      <c r="F24" s="88" t="str">
        <f t="shared" si="38"/>
        <v>22%</v>
      </c>
      <c r="G24" s="88" t="str">
        <f t="shared" si="38"/>
        <v>26%</v>
      </c>
      <c r="H24" s="88" t="str">
        <f t="shared" si="38"/>
        <v>#REF!</v>
      </c>
      <c r="I24" s="88" t="str">
        <f t="shared" si="38"/>
        <v>#REF!</v>
      </c>
      <c r="J24" s="88" t="str">
        <f t="shared" si="38"/>
        <v>#REF!</v>
      </c>
      <c r="K24" s="88" t="str">
        <f t="shared" si="38"/>
        <v>#REF!</v>
      </c>
      <c r="L24" s="88" t="str">
        <f t="shared" si="38"/>
        <v>#REF!</v>
      </c>
      <c r="M24" s="88" t="str">
        <f t="shared" si="38"/>
        <v>#REF!</v>
      </c>
      <c r="N24" s="88" t="str">
        <f t="shared" si="38"/>
        <v>#REF!</v>
      </c>
      <c r="O24" s="88" t="str">
        <f t="shared" si="38"/>
        <v>#REF!</v>
      </c>
      <c r="P24" s="25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</row>
    <row r="25" ht="13.5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5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</row>
    <row r="26" ht="13.5" customHeight="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5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</row>
    <row r="27" ht="13.5" customHeight="1">
      <c r="A27" s="24"/>
      <c r="B27" s="89" t="s">
        <v>53</v>
      </c>
      <c r="C27" s="90">
        <v>46023.0</v>
      </c>
      <c r="D27" s="90">
        <v>46054.0</v>
      </c>
      <c r="E27" s="90">
        <v>46082.0</v>
      </c>
      <c r="F27" s="90">
        <v>46113.0</v>
      </c>
      <c r="G27" s="90">
        <v>46143.0</v>
      </c>
      <c r="H27" s="90">
        <v>46174.0</v>
      </c>
      <c r="I27" s="90">
        <v>46204.0</v>
      </c>
      <c r="J27" s="90">
        <v>46235.0</v>
      </c>
      <c r="K27" s="90">
        <v>46266.0</v>
      </c>
      <c r="L27" s="90">
        <v>46296.0</v>
      </c>
      <c r="M27" s="90">
        <v>46327.0</v>
      </c>
      <c r="N27" s="90">
        <v>46357.0</v>
      </c>
      <c r="O27" s="91" t="s">
        <v>19</v>
      </c>
      <c r="P27" s="25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</row>
    <row r="28" ht="13.5" customHeight="1">
      <c r="A28" s="24"/>
      <c r="B28" s="50" t="s">
        <v>30</v>
      </c>
      <c r="C28" s="51">
        <v>24.12836015992808</v>
      </c>
      <c r="D28" s="51">
        <v>23.935513901275787</v>
      </c>
      <c r="E28" s="51">
        <v>21.375944688495167</v>
      </c>
      <c r="F28" s="51">
        <v>27.733582762744273</v>
      </c>
      <c r="G28" s="51">
        <v>38.23500087947077</v>
      </c>
      <c r="H28" s="51">
        <v>33.598167798601395</v>
      </c>
      <c r="I28" s="51">
        <v>28.65167183220311</v>
      </c>
      <c r="J28" s="51">
        <v>42.11801262151121</v>
      </c>
      <c r="K28" s="51">
        <v>41.659580279248814</v>
      </c>
      <c r="L28" s="51">
        <v>40.01748809484131</v>
      </c>
      <c r="M28" s="51">
        <v>41.8152975977926</v>
      </c>
      <c r="N28" s="51">
        <v>73.25522382040127</v>
      </c>
      <c r="O28" s="51" t="str">
        <f t="shared" ref="O28:O29" si="39">+SUM(C28:N28)</f>
        <v>  436.5 </v>
      </c>
      <c r="P28" s="25"/>
      <c r="Q28" s="24"/>
      <c r="R28" s="41" t="s">
        <v>4</v>
      </c>
      <c r="S28" s="42">
        <v>46023.0</v>
      </c>
      <c r="T28" s="42">
        <v>46054.0</v>
      </c>
      <c r="U28" s="43">
        <v>46082.0</v>
      </c>
      <c r="V28" s="43">
        <v>46113.0</v>
      </c>
      <c r="W28" s="43">
        <v>46143.0</v>
      </c>
      <c r="X28" s="43">
        <v>46174.0</v>
      </c>
      <c r="Y28" s="43">
        <v>46204.0</v>
      </c>
      <c r="Z28" s="43">
        <v>46235.0</v>
      </c>
      <c r="AA28" s="43">
        <v>46266.0</v>
      </c>
      <c r="AB28" s="43">
        <v>46296.0</v>
      </c>
      <c r="AC28" s="43">
        <v>46327.0</v>
      </c>
      <c r="AD28" s="43">
        <v>46357.0</v>
      </c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</row>
    <row r="29" ht="13.5" customHeight="1">
      <c r="A29" s="24"/>
      <c r="B29" s="50" t="s">
        <v>31</v>
      </c>
      <c r="C29" s="51">
        <v>1.003597925293145</v>
      </c>
      <c r="D29" s="51">
        <v>1.5853299819821358</v>
      </c>
      <c r="E29" s="51">
        <v>2.3324668650751526</v>
      </c>
      <c r="F29" s="51">
        <v>2.716218577311486</v>
      </c>
      <c r="G29" s="51">
        <v>3.4036958112601208</v>
      </c>
      <c r="H29" s="51">
        <v>2.6425152754927552</v>
      </c>
      <c r="I29" s="51">
        <v>3.0059343606396265</v>
      </c>
      <c r="J29" s="51">
        <v>4.153739818262229</v>
      </c>
      <c r="K29" s="51">
        <v>6.81412534617074</v>
      </c>
      <c r="L29" s="51">
        <v>10.714125346170741</v>
      </c>
      <c r="M29" s="51">
        <v>13.314125346170743</v>
      </c>
      <c r="N29" s="51">
        <v>13.314125346170743</v>
      </c>
      <c r="O29" s="51" t="str">
        <f t="shared" si="39"/>
        <v>  65.0 </v>
      </c>
      <c r="P29" s="25"/>
      <c r="Q29" s="24"/>
      <c r="R29" s="50" t="s">
        <v>30</v>
      </c>
      <c r="S29" s="92" t="str">
        <f t="shared" ref="S29:AD29" si="40">C5/C28</f>
        <v>51%</v>
      </c>
      <c r="T29" s="92" t="str">
        <f t="shared" si="40"/>
        <v>122%</v>
      </c>
      <c r="U29" s="92" t="str">
        <f t="shared" si="40"/>
        <v>113%</v>
      </c>
      <c r="V29" s="92" t="str">
        <f t="shared" si="40"/>
        <v>136%</v>
      </c>
      <c r="W29" s="92" t="str">
        <f t="shared" si="40"/>
        <v>104%</v>
      </c>
      <c r="X29" s="92" t="str">
        <f t="shared" si="40"/>
        <v>#REF!</v>
      </c>
      <c r="Y29" s="92" t="str">
        <f t="shared" si="40"/>
        <v>#REF!</v>
      </c>
      <c r="Z29" s="92" t="str">
        <f t="shared" si="40"/>
        <v>#REF!</v>
      </c>
      <c r="AA29" s="92" t="str">
        <f t="shared" si="40"/>
        <v>#REF!</v>
      </c>
      <c r="AB29" s="92" t="str">
        <f t="shared" si="40"/>
        <v>#REF!</v>
      </c>
      <c r="AC29" s="92" t="str">
        <f t="shared" si="40"/>
        <v>#REF!</v>
      </c>
      <c r="AD29" s="92" t="str">
        <f t="shared" si="40"/>
        <v>#REF!</v>
      </c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</row>
    <row r="30" ht="13.5" customHeight="1">
      <c r="A30" s="24"/>
      <c r="B30" s="59" t="s">
        <v>32</v>
      </c>
      <c r="C30" s="60" t="str">
        <f t="shared" ref="C30:D30" si="41">C28+C29</f>
        <v>  25.1 </v>
      </c>
      <c r="D30" s="60" t="str">
        <f t="shared" si="41"/>
        <v>  25.5 </v>
      </c>
      <c r="E30" s="60" t="str">
        <f t="shared" ref="E30:O30" si="42">E29+E28</f>
        <v>  23.7 </v>
      </c>
      <c r="F30" s="60" t="str">
        <f t="shared" si="42"/>
        <v>  30.4 </v>
      </c>
      <c r="G30" s="60" t="str">
        <f t="shared" si="42"/>
        <v>  41.6 </v>
      </c>
      <c r="H30" s="60" t="str">
        <f t="shared" si="42"/>
        <v>  36.2 </v>
      </c>
      <c r="I30" s="60" t="str">
        <f t="shared" si="42"/>
        <v>  31.7 </v>
      </c>
      <c r="J30" s="60" t="str">
        <f t="shared" si="42"/>
        <v>  46.3 </v>
      </c>
      <c r="K30" s="60" t="str">
        <f t="shared" si="42"/>
        <v>  48.5 </v>
      </c>
      <c r="L30" s="60" t="str">
        <f t="shared" si="42"/>
        <v>  50.7 </v>
      </c>
      <c r="M30" s="60" t="str">
        <f t="shared" si="42"/>
        <v>  55.1 </v>
      </c>
      <c r="N30" s="60" t="str">
        <f t="shared" si="42"/>
        <v>  86.6 </v>
      </c>
      <c r="O30" s="60" t="str">
        <f t="shared" si="42"/>
        <v>  501.5 </v>
      </c>
      <c r="P30" s="25"/>
      <c r="Q30" s="24"/>
      <c r="R30" s="50" t="s">
        <v>31</v>
      </c>
      <c r="S30" s="92" t="str">
        <f t="shared" ref="S30:U30" si="43">C6/C29</f>
        <v>467%</v>
      </c>
      <c r="T30" s="92" t="str">
        <f t="shared" si="43"/>
        <v>192%</v>
      </c>
      <c r="U30" s="92" t="str">
        <f t="shared" si="43"/>
        <v>28%</v>
      </c>
      <c r="V30" s="92">
        <v>0.55</v>
      </c>
      <c r="W30" s="92">
        <v>0.55</v>
      </c>
      <c r="X30" s="92">
        <v>0.55</v>
      </c>
      <c r="Y30" s="92">
        <v>0.55</v>
      </c>
      <c r="Z30" s="92">
        <v>0.55</v>
      </c>
      <c r="AA30" s="92">
        <v>0.55</v>
      </c>
      <c r="AB30" s="92">
        <v>0.55</v>
      </c>
      <c r="AC30" s="92">
        <v>0.55</v>
      </c>
      <c r="AD30" s="92">
        <v>0.55</v>
      </c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</row>
    <row r="31" ht="13.5" customHeight="1">
      <c r="A31" s="24"/>
      <c r="B31" s="68" t="s">
        <v>33</v>
      </c>
      <c r="C31" s="51">
        <v>-15.079174851132734</v>
      </c>
      <c r="D31" s="51">
        <v>-15.312506329954752</v>
      </c>
      <c r="E31" s="51">
        <v>-14.22504693214219</v>
      </c>
      <c r="F31" s="51">
        <v>-18.269880804033455</v>
      </c>
      <c r="G31" s="51">
        <v>-24.98321801443853</v>
      </c>
      <c r="H31" s="51">
        <v>-21.744409844456488</v>
      </c>
      <c r="I31" s="51">
        <v>-18.99456371570564</v>
      </c>
      <c r="J31" s="51">
        <v>-27.763051463864066</v>
      </c>
      <c r="K31" s="51">
        <v>-29.08422337525173</v>
      </c>
      <c r="L31" s="51">
        <v>-30.43896806460723</v>
      </c>
      <c r="M31" s="51">
        <v>-33.077653766378006</v>
      </c>
      <c r="N31" s="51">
        <v>-51.941609499943205</v>
      </c>
      <c r="O31" s="51" t="str">
        <f t="shared" ref="O31:O33" si="44">+SUM(C31:N31)</f>
        <v>  (300.9)</v>
      </c>
      <c r="P31" s="25"/>
      <c r="Q31" s="24"/>
      <c r="R31" s="59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</row>
    <row r="32" ht="13.5" customHeight="1">
      <c r="A32" s="24"/>
      <c r="B32" s="68" t="s">
        <v>34</v>
      </c>
      <c r="C32" s="51">
        <v>-0.05159296214347</v>
      </c>
      <c r="D32" s="51">
        <v>-0.08149864371373763</v>
      </c>
      <c r="E32" s="51">
        <v>-0.11990745659978344</v>
      </c>
      <c r="F32" s="51">
        <v>-0.1396353646224289</v>
      </c>
      <c r="G32" s="51">
        <v>-0.1749771942652603</v>
      </c>
      <c r="H32" s="51">
        <v>-0.13584642528253157</v>
      </c>
      <c r="I32" s="51">
        <v>-0.1545290736117619</v>
      </c>
      <c r="J32" s="51">
        <v>-0.21353545657722467</v>
      </c>
      <c r="K32" s="51">
        <v>-0.35030055579594543</v>
      </c>
      <c r="L32" s="51">
        <v>-0.5507917557959454</v>
      </c>
      <c r="M32" s="51">
        <v>-0.6844525557959454</v>
      </c>
      <c r="N32" s="51">
        <v>-0.6844525557959454</v>
      </c>
      <c r="O32" s="51" t="str">
        <f t="shared" si="44"/>
        <v>  (3.3)</v>
      </c>
      <c r="P32" s="93"/>
      <c r="Q32" s="92"/>
      <c r="R32" s="68" t="s">
        <v>33</v>
      </c>
      <c r="S32" s="51"/>
      <c r="T32" s="51"/>
      <c r="U32" s="69" t="str">
        <f>E31/E30-6%</f>
        <v>-66.0%</v>
      </c>
      <c r="V32" s="69" t="str">
        <f t="shared" ref="V32:AD32" si="45">U32</f>
        <v>-66.0%</v>
      </c>
      <c r="W32" s="69" t="str">
        <f t="shared" si="45"/>
        <v>-66.0%</v>
      </c>
      <c r="X32" s="69" t="str">
        <f t="shared" si="45"/>
        <v>-66.0%</v>
      </c>
      <c r="Y32" s="69" t="str">
        <f t="shared" si="45"/>
        <v>-66.0%</v>
      </c>
      <c r="Z32" s="69" t="str">
        <f t="shared" si="45"/>
        <v>-66.0%</v>
      </c>
      <c r="AA32" s="69" t="str">
        <f t="shared" si="45"/>
        <v>-66.0%</v>
      </c>
      <c r="AB32" s="69" t="str">
        <f t="shared" si="45"/>
        <v>-66.0%</v>
      </c>
      <c r="AC32" s="69" t="str">
        <f t="shared" si="45"/>
        <v>-66.0%</v>
      </c>
      <c r="AD32" s="69" t="str">
        <f t="shared" si="45"/>
        <v>-66.0%</v>
      </c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</row>
    <row r="33" ht="13.5" customHeight="1">
      <c r="A33" s="24"/>
      <c r="B33" s="68" t="s">
        <v>36</v>
      </c>
      <c r="C33" s="51">
        <v>-0.03532664697031871</v>
      </c>
      <c r="D33" s="51">
        <v>-0.05580361536577119</v>
      </c>
      <c r="E33" s="51">
        <v>-0.08210283365064538</v>
      </c>
      <c r="F33" s="51">
        <v>-0.09561089392136432</v>
      </c>
      <c r="G33" s="51">
        <v>-0.11981009255635626</v>
      </c>
      <c r="H33" s="51">
        <v>-0.09301653769734498</v>
      </c>
      <c r="I33" s="51">
        <v>-0.10580888949451486</v>
      </c>
      <c r="J33" s="51">
        <v>-0.1462116416028305</v>
      </c>
      <c r="K33" s="51">
        <v>-0.23985721218521006</v>
      </c>
      <c r="L33" s="51">
        <v>-0.3771372121852102</v>
      </c>
      <c r="M33" s="51">
        <v>-0.4686572121852102</v>
      </c>
      <c r="N33" s="51">
        <v>-0.4686572121852102</v>
      </c>
      <c r="O33" s="51" t="str">
        <f t="shared" si="44"/>
        <v>  (2.3)</v>
      </c>
      <c r="P33" s="25"/>
      <c r="Q33" s="24"/>
      <c r="R33" s="68" t="s">
        <v>34</v>
      </c>
      <c r="S33" s="92" t="str">
        <f t="shared" ref="S33:T33" si="46">C9/C32</f>
        <v>82%</v>
      </c>
      <c r="T33" s="92" t="str">
        <f t="shared" si="46"/>
        <v>28%</v>
      </c>
      <c r="U33" s="92" t="str">
        <f>AVERAGE(S33:T33)</f>
        <v>55%</v>
      </c>
      <c r="V33" s="92" t="str">
        <f t="shared" ref="V33:AD33" si="47">U33</f>
        <v>55%</v>
      </c>
      <c r="W33" s="92" t="str">
        <f t="shared" si="47"/>
        <v>55%</v>
      </c>
      <c r="X33" s="92" t="str">
        <f t="shared" si="47"/>
        <v>55%</v>
      </c>
      <c r="Y33" s="92" t="str">
        <f t="shared" si="47"/>
        <v>55%</v>
      </c>
      <c r="Z33" s="92" t="str">
        <f t="shared" si="47"/>
        <v>55%</v>
      </c>
      <c r="AA33" s="92" t="str">
        <f t="shared" si="47"/>
        <v>55%</v>
      </c>
      <c r="AB33" s="92" t="str">
        <f t="shared" si="47"/>
        <v>55%</v>
      </c>
      <c r="AC33" s="92" t="str">
        <f t="shared" si="47"/>
        <v>55%</v>
      </c>
      <c r="AD33" s="92" t="str">
        <f t="shared" si="47"/>
        <v>55%</v>
      </c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</row>
    <row r="34" ht="13.5" customHeight="1">
      <c r="A34" s="24"/>
      <c r="B34" s="65" t="s">
        <v>37</v>
      </c>
      <c r="C34" s="71" t="str">
        <f t="shared" ref="C34:O34" si="48">SUM(C31:C33)</f>
        <v>  (15.2)</v>
      </c>
      <c r="D34" s="71" t="str">
        <f t="shared" si="48"/>
        <v>  (15.4)</v>
      </c>
      <c r="E34" s="71" t="str">
        <f t="shared" si="48"/>
        <v>  (14.4)</v>
      </c>
      <c r="F34" s="71" t="str">
        <f t="shared" si="48"/>
        <v>  (18.5)</v>
      </c>
      <c r="G34" s="71" t="str">
        <f t="shared" si="48"/>
        <v>  (25.3)</v>
      </c>
      <c r="H34" s="71" t="str">
        <f t="shared" si="48"/>
        <v>  (22.0)</v>
      </c>
      <c r="I34" s="71" t="str">
        <f t="shared" si="48"/>
        <v>  (19.3)</v>
      </c>
      <c r="J34" s="71" t="str">
        <f t="shared" si="48"/>
        <v>  (28.1)</v>
      </c>
      <c r="K34" s="71" t="str">
        <f t="shared" si="48"/>
        <v>  (29.7)</v>
      </c>
      <c r="L34" s="71" t="str">
        <f t="shared" si="48"/>
        <v>  (31.4)</v>
      </c>
      <c r="M34" s="71" t="str">
        <f t="shared" si="48"/>
        <v>  (34.2)</v>
      </c>
      <c r="N34" s="71" t="str">
        <f t="shared" si="48"/>
        <v>  (53.1)</v>
      </c>
      <c r="O34" s="71" t="str">
        <f t="shared" si="48"/>
        <v>  (306.5)</v>
      </c>
      <c r="P34" s="25"/>
      <c r="Q34" s="24"/>
      <c r="R34" s="68" t="s">
        <v>36</v>
      </c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</row>
    <row r="35" ht="13.5" customHeight="1">
      <c r="A35" s="24"/>
      <c r="B35" s="59" t="s">
        <v>38</v>
      </c>
      <c r="C35" s="60" t="str">
        <f t="shared" ref="C35:O35" si="49">C30+C34</f>
        <v>  10.0 </v>
      </c>
      <c r="D35" s="60" t="str">
        <f t="shared" si="49"/>
        <v>  10.1 </v>
      </c>
      <c r="E35" s="60" t="str">
        <f t="shared" si="49"/>
        <v>  9.3 </v>
      </c>
      <c r="F35" s="60" t="str">
        <f t="shared" si="49"/>
        <v>  11.9 </v>
      </c>
      <c r="G35" s="60" t="str">
        <f t="shared" si="49"/>
        <v>  16.4 </v>
      </c>
      <c r="H35" s="60" t="str">
        <f t="shared" si="49"/>
        <v>  14.3 </v>
      </c>
      <c r="I35" s="60" t="str">
        <f t="shared" si="49"/>
        <v>  12.4 </v>
      </c>
      <c r="J35" s="60" t="str">
        <f t="shared" si="49"/>
        <v>  18.1 </v>
      </c>
      <c r="K35" s="60" t="str">
        <f t="shared" si="49"/>
        <v>  18.8 </v>
      </c>
      <c r="L35" s="60" t="str">
        <f t="shared" si="49"/>
        <v>  19.4 </v>
      </c>
      <c r="M35" s="60" t="str">
        <f t="shared" si="49"/>
        <v>  20.9 </v>
      </c>
      <c r="N35" s="60" t="str">
        <f t="shared" si="49"/>
        <v>  33.5 </v>
      </c>
      <c r="O35" s="60" t="str">
        <f t="shared" si="49"/>
        <v>  195.0 </v>
      </c>
      <c r="P35" s="25"/>
      <c r="Q35" s="24"/>
      <c r="R35" s="65" t="s">
        <v>37</v>
      </c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</row>
    <row r="36" ht="13.5" customHeight="1">
      <c r="A36" s="24"/>
      <c r="B36" s="50" t="s">
        <v>39</v>
      </c>
      <c r="C36" s="51">
        <v>-4.13169565</v>
      </c>
      <c r="D36" s="51">
        <v>-4.13169565</v>
      </c>
      <c r="E36" s="51">
        <v>-4.13169565</v>
      </c>
      <c r="F36" s="51">
        <v>-4.13169565</v>
      </c>
      <c r="G36" s="51">
        <v>-4.13169565</v>
      </c>
      <c r="H36" s="51">
        <v>-4.13169565</v>
      </c>
      <c r="I36" s="51">
        <v>-4.13169565</v>
      </c>
      <c r="J36" s="51">
        <v>-4.13169565</v>
      </c>
      <c r="K36" s="51">
        <v>-4.13169565</v>
      </c>
      <c r="L36" s="51">
        <v>-4.13169565</v>
      </c>
      <c r="M36" s="51">
        <v>-4.13169565</v>
      </c>
      <c r="N36" s="51">
        <v>-4.13169565</v>
      </c>
      <c r="O36" s="51" t="str">
        <f t="shared" ref="O36:O43" si="50">+SUM(C36:N36)</f>
        <v>  (49.6)</v>
      </c>
      <c r="P36" s="25"/>
      <c r="Q36" s="24"/>
      <c r="R36" s="59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</row>
    <row r="37" ht="13.5" customHeight="1">
      <c r="A37" s="24"/>
      <c r="B37" s="68" t="s">
        <v>41</v>
      </c>
      <c r="C37" s="51">
        <v>-0.667</v>
      </c>
      <c r="D37" s="51">
        <v>-1.067</v>
      </c>
      <c r="E37" s="51">
        <v>-0.167</v>
      </c>
      <c r="F37" s="51">
        <v>-0.417</v>
      </c>
      <c r="G37" s="51">
        <v>-0.424</v>
      </c>
      <c r="H37" s="51">
        <v>-0.41763621</v>
      </c>
      <c r="I37" s="51">
        <v>-0.267</v>
      </c>
      <c r="J37" s="51">
        <v>-0.317</v>
      </c>
      <c r="K37" s="51">
        <v>-0.267</v>
      </c>
      <c r="L37" s="51">
        <v>-0.267</v>
      </c>
      <c r="M37" s="51">
        <v>-0.274</v>
      </c>
      <c r="N37" s="51">
        <v>-0.267</v>
      </c>
      <c r="O37" s="51" t="str">
        <f t="shared" si="50"/>
        <v>  (4.8)</v>
      </c>
      <c r="P37" s="94"/>
      <c r="Q37" s="24"/>
      <c r="R37" s="50" t="s">
        <v>39</v>
      </c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</row>
    <row r="38" ht="13.5" customHeight="1">
      <c r="A38" s="24"/>
      <c r="B38" s="68" t="s">
        <v>43</v>
      </c>
      <c r="C38" s="51">
        <v>-0.151769</v>
      </c>
      <c r="D38" s="51">
        <v>-0.18338</v>
      </c>
      <c r="E38" s="51">
        <v>-0.592046772347594</v>
      </c>
      <c r="F38" s="51">
        <v>-0.24869</v>
      </c>
      <c r="G38" s="51">
        <v>-0.13869</v>
      </c>
      <c r="H38" s="51">
        <v>-0.13869</v>
      </c>
      <c r="I38" s="51">
        <v>-0.13869</v>
      </c>
      <c r="J38" s="51">
        <v>-0.13869</v>
      </c>
      <c r="K38" s="51">
        <v>-0.13869</v>
      </c>
      <c r="L38" s="51">
        <v>-0.17369</v>
      </c>
      <c r="M38" s="51">
        <v>-0.13869</v>
      </c>
      <c r="N38" s="51">
        <v>-0.13869</v>
      </c>
      <c r="O38" s="51" t="str">
        <f t="shared" si="50"/>
        <v>  (2.3)</v>
      </c>
      <c r="P38" s="94"/>
      <c r="Q38" s="24"/>
      <c r="R38" s="68" t="s">
        <v>41</v>
      </c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</row>
    <row r="39" ht="13.5" customHeight="1">
      <c r="A39" s="24"/>
      <c r="B39" s="68" t="s">
        <v>44</v>
      </c>
      <c r="C39" s="51">
        <v>-0.38681680466209667</v>
      </c>
      <c r="D39" s="51">
        <v>-0.36747596442899183</v>
      </c>
      <c r="E39" s="51">
        <v>-0.36747596442899183</v>
      </c>
      <c r="F39" s="51">
        <v>-0.36747596442899183</v>
      </c>
      <c r="G39" s="51">
        <v>-0.36747596442899183</v>
      </c>
      <c r="H39" s="51">
        <v>-0.36747596442899183</v>
      </c>
      <c r="I39" s="51">
        <v>-0.36747596442899183</v>
      </c>
      <c r="J39" s="51">
        <v>-0.36747596442899183</v>
      </c>
      <c r="K39" s="51">
        <v>-0.36747596442899183</v>
      </c>
      <c r="L39" s="51">
        <v>-0.36747596442899183</v>
      </c>
      <c r="M39" s="51">
        <v>-0.36747596442899183</v>
      </c>
      <c r="N39" s="51">
        <v>-0.36747596442899183</v>
      </c>
      <c r="O39" s="51" t="str">
        <f t="shared" si="50"/>
        <v>  (4.4)</v>
      </c>
      <c r="P39" s="25"/>
      <c r="Q39" s="24"/>
      <c r="R39" s="68" t="s">
        <v>43</v>
      </c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</row>
    <row r="40" ht="13.5" customHeight="1">
      <c r="A40" s="24"/>
      <c r="B40" s="68" t="s">
        <v>45</v>
      </c>
      <c r="C40" s="51">
        <v>-0.273319330800001</v>
      </c>
      <c r="D40" s="51">
        <v>-0.2342049983090939</v>
      </c>
      <c r="E40" s="51">
        <v>-0.20044467450909395</v>
      </c>
      <c r="F40" s="51">
        <v>-0.21160667850909395</v>
      </c>
      <c r="G40" s="51">
        <v>-0.20801396910909392</v>
      </c>
      <c r="H40" s="51">
        <v>-0.21403749010909393</v>
      </c>
      <c r="I40" s="51">
        <v>-0.21214274830909394</v>
      </c>
      <c r="J40" s="51">
        <v>-0.211821249509094</v>
      </c>
      <c r="K40" s="51">
        <v>-0.20824343610909396</v>
      </c>
      <c r="L40" s="51">
        <v>-0.22866781210909395</v>
      </c>
      <c r="M40" s="51">
        <v>-0.20767621210909396</v>
      </c>
      <c r="N40" s="51">
        <v>-0.20767621210909396</v>
      </c>
      <c r="O40" s="51" t="str">
        <f t="shared" si="50"/>
        <v>  (2.6)</v>
      </c>
      <c r="P40" s="25"/>
      <c r="Q40" s="24"/>
      <c r="R40" s="68" t="s">
        <v>44</v>
      </c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</row>
    <row r="41" ht="13.5" customHeight="1">
      <c r="A41" s="24"/>
      <c r="B41" s="68" t="s">
        <v>46</v>
      </c>
      <c r="C41" s="51">
        <v>-1.6344562500000001E-4</v>
      </c>
      <c r="D41" s="51">
        <v>-1.6344562500000001E-4</v>
      </c>
      <c r="E41" s="51">
        <v>-1.6485E-4</v>
      </c>
      <c r="F41" s="51">
        <v>-1.638E-4</v>
      </c>
      <c r="G41" s="51">
        <v>-1.533E-4</v>
      </c>
      <c r="H41" s="51">
        <v>-1.6065E-4</v>
      </c>
      <c r="I41" s="51">
        <v>-6.7935E-4</v>
      </c>
      <c r="J41" s="51">
        <v>-6.7935E-4</v>
      </c>
      <c r="K41" s="51">
        <v>-0.0021002625</v>
      </c>
      <c r="L41" s="51">
        <v>-0.029884233149427997</v>
      </c>
      <c r="M41" s="51">
        <v>-0.029884233149427997</v>
      </c>
      <c r="N41" s="51">
        <v>-0.029884233149427997</v>
      </c>
      <c r="O41" s="51" t="str">
        <f t="shared" si="50"/>
        <v>  (0.1)</v>
      </c>
      <c r="P41" s="25"/>
      <c r="Q41" s="24"/>
      <c r="R41" s="68" t="s">
        <v>45</v>
      </c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</row>
    <row r="42" ht="13.5" customHeight="1">
      <c r="A42" s="24"/>
      <c r="B42" s="68" t="s">
        <v>47</v>
      </c>
      <c r="C42" s="51">
        <v>-0.51010665</v>
      </c>
      <c r="D42" s="51">
        <v>-0.51010665</v>
      </c>
      <c r="E42" s="51">
        <v>-0.51010665</v>
      </c>
      <c r="F42" s="51">
        <v>-0.51010665</v>
      </c>
      <c r="G42" s="51">
        <v>-0.51010665</v>
      </c>
      <c r="H42" s="51">
        <v>-0.51010665</v>
      </c>
      <c r="I42" s="51">
        <v>-0.51010665</v>
      </c>
      <c r="J42" s="51">
        <v>-0.51010665</v>
      </c>
      <c r="K42" s="51">
        <v>-0.51010665</v>
      </c>
      <c r="L42" s="51">
        <v>-0.51010665</v>
      </c>
      <c r="M42" s="51">
        <v>-0.51010665</v>
      </c>
      <c r="N42" s="51">
        <v>-0.51010665</v>
      </c>
      <c r="O42" s="51" t="str">
        <f t="shared" si="50"/>
        <v>  (6.1)</v>
      </c>
      <c r="P42" s="25"/>
      <c r="Q42" s="24"/>
      <c r="R42" s="68" t="s">
        <v>46</v>
      </c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</row>
    <row r="43" ht="13.5" customHeight="1">
      <c r="A43" s="24"/>
      <c r="B43" s="68" t="s">
        <v>48</v>
      </c>
      <c r="C43" s="51">
        <v>-1.35221684275129</v>
      </c>
      <c r="D43" s="51">
        <v>-1.4532884230270642</v>
      </c>
      <c r="E43" s="51">
        <v>-1.4944163795857703</v>
      </c>
      <c r="F43" s="51">
        <v>-1.4322186038177374</v>
      </c>
      <c r="G43" s="51">
        <v>-1.4400309789801713</v>
      </c>
      <c r="H43" s="51">
        <v>-1.436740764189603</v>
      </c>
      <c r="I43" s="51">
        <v>-1.4763210453356688</v>
      </c>
      <c r="J43" s="51">
        <v>-1.4611031366949567</v>
      </c>
      <c r="K43" s="51">
        <v>-1.5557300289430316</v>
      </c>
      <c r="L43" s="51">
        <v>-1.5276189709126136</v>
      </c>
      <c r="M43" s="51">
        <v>-1.6039684799636158</v>
      </c>
      <c r="N43" s="51">
        <v>-1.603816217383581</v>
      </c>
      <c r="O43" s="51" t="str">
        <f t="shared" si="50"/>
        <v>  (17.8)</v>
      </c>
      <c r="P43" s="25"/>
      <c r="Q43" s="24"/>
      <c r="R43" s="68" t="s">
        <v>47</v>
      </c>
      <c r="S43" s="92" t="str">
        <f t="shared" ref="S43:T43" si="51">C19/C42</f>
        <v>103%</v>
      </c>
      <c r="T43" s="92" t="str">
        <f t="shared" si="51"/>
        <v>91%</v>
      </c>
      <c r="U43" s="92"/>
      <c r="V43" s="51"/>
      <c r="W43" s="51"/>
      <c r="X43" s="51"/>
      <c r="Y43" s="51"/>
      <c r="Z43" s="51"/>
      <c r="AA43" s="51"/>
      <c r="AB43" s="51"/>
      <c r="AC43" s="51"/>
      <c r="AD43" s="51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</row>
    <row r="44" ht="13.5" customHeight="1">
      <c r="A44" s="24"/>
      <c r="B44" s="59" t="s">
        <v>49</v>
      </c>
      <c r="C44" s="60" t="str">
        <f t="shared" ref="C44:O44" si="52">+SUM(C36:C43)</f>
        <v>  (7.5)</v>
      </c>
      <c r="D44" s="60" t="str">
        <f t="shared" si="52"/>
        <v>  (7.9)</v>
      </c>
      <c r="E44" s="60" t="str">
        <f t="shared" si="52"/>
        <v>  (7.5)</v>
      </c>
      <c r="F44" s="60" t="str">
        <f t="shared" si="52"/>
        <v>  (7.3)</v>
      </c>
      <c r="G44" s="60" t="str">
        <f t="shared" si="52"/>
        <v>  (7.2)</v>
      </c>
      <c r="H44" s="60" t="str">
        <f t="shared" si="52"/>
        <v>  (7.2)</v>
      </c>
      <c r="I44" s="60" t="str">
        <f t="shared" si="52"/>
        <v>  (7.1)</v>
      </c>
      <c r="J44" s="60" t="str">
        <f t="shared" si="52"/>
        <v>  (7.1)</v>
      </c>
      <c r="K44" s="60" t="str">
        <f t="shared" si="52"/>
        <v>  (7.2)</v>
      </c>
      <c r="L44" s="60" t="str">
        <f t="shared" si="52"/>
        <v>  (7.2)</v>
      </c>
      <c r="M44" s="60" t="str">
        <f t="shared" si="52"/>
        <v>  (7.3)</v>
      </c>
      <c r="N44" s="60" t="str">
        <f t="shared" si="52"/>
        <v>  (7.3)</v>
      </c>
      <c r="O44" s="60" t="str">
        <f t="shared" si="52"/>
        <v>  (87.8)</v>
      </c>
      <c r="P44" s="25"/>
      <c r="Q44" s="24"/>
      <c r="R44" s="68" t="s">
        <v>48</v>
      </c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</row>
    <row r="45" ht="13.5" customHeight="1">
      <c r="A45" s="24"/>
      <c r="B45" s="95" t="s">
        <v>50</v>
      </c>
      <c r="C45" s="96" t="str">
        <f t="shared" ref="C45:O45" si="53">C35+C44</f>
        <v>  2.5 </v>
      </c>
      <c r="D45" s="96" t="str">
        <f t="shared" si="53"/>
        <v>  2.1 </v>
      </c>
      <c r="E45" s="96" t="str">
        <f t="shared" si="53"/>
        <v>  1.8 </v>
      </c>
      <c r="F45" s="96" t="str">
        <f t="shared" si="53"/>
        <v>  4.6 </v>
      </c>
      <c r="G45" s="96" t="str">
        <f t="shared" si="53"/>
        <v>  9.1 </v>
      </c>
      <c r="H45" s="96" t="str">
        <f t="shared" si="53"/>
        <v>  7.1 </v>
      </c>
      <c r="I45" s="96" t="str">
        <f t="shared" si="53"/>
        <v>  5.3 </v>
      </c>
      <c r="J45" s="96" t="str">
        <f t="shared" si="53"/>
        <v>  11.0 </v>
      </c>
      <c r="K45" s="96" t="str">
        <f t="shared" si="53"/>
        <v>  11.6 </v>
      </c>
      <c r="L45" s="96" t="str">
        <f t="shared" si="53"/>
        <v>  12.1 </v>
      </c>
      <c r="M45" s="96" t="str">
        <f t="shared" si="53"/>
        <v>  13.6 </v>
      </c>
      <c r="N45" s="96" t="str">
        <f t="shared" si="53"/>
        <v>  26.2 </v>
      </c>
      <c r="O45" s="96" t="str">
        <f t="shared" si="53"/>
        <v>  107.2 </v>
      </c>
      <c r="P45" s="25"/>
      <c r="Q45" s="24"/>
      <c r="R45" s="59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</row>
    <row r="46" ht="13.5" customHeight="1">
      <c r="A46" s="24"/>
      <c r="B46" s="86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25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</row>
    <row r="47" ht="13.5" customHeight="1">
      <c r="A47" s="24"/>
      <c r="B47" s="59" t="s">
        <v>52</v>
      </c>
      <c r="C47" s="88" t="str">
        <f t="shared" ref="C47:O47" si="54">C45/C30</f>
        <v>10%</v>
      </c>
      <c r="D47" s="88" t="str">
        <f t="shared" si="54"/>
        <v>8%</v>
      </c>
      <c r="E47" s="88" t="str">
        <f t="shared" si="54"/>
        <v>8%</v>
      </c>
      <c r="F47" s="88" t="str">
        <f t="shared" si="54"/>
        <v>15%</v>
      </c>
      <c r="G47" s="88" t="str">
        <f t="shared" si="54"/>
        <v>22%</v>
      </c>
      <c r="H47" s="88" t="str">
        <f t="shared" si="54"/>
        <v>19%</v>
      </c>
      <c r="I47" s="88" t="str">
        <f t="shared" si="54"/>
        <v>17%</v>
      </c>
      <c r="J47" s="88" t="str">
        <f t="shared" si="54"/>
        <v>24%</v>
      </c>
      <c r="K47" s="88" t="str">
        <f t="shared" si="54"/>
        <v>24%</v>
      </c>
      <c r="L47" s="88" t="str">
        <f t="shared" si="54"/>
        <v>24%</v>
      </c>
      <c r="M47" s="88" t="str">
        <f t="shared" si="54"/>
        <v>25%</v>
      </c>
      <c r="N47" s="88" t="str">
        <f t="shared" si="54"/>
        <v>30%</v>
      </c>
      <c r="O47" s="88" t="str">
        <f t="shared" si="54"/>
        <v>21%</v>
      </c>
      <c r="P47" s="25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</row>
    <row r="48" ht="13.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5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</row>
    <row r="49" ht="13.5" customHeight="1">
      <c r="A49" s="24"/>
      <c r="B49" s="24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25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</row>
    <row r="50" ht="13.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5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</row>
    <row r="51" ht="13.5" customHeight="1">
      <c r="A51" s="24"/>
      <c r="B51" s="97" t="s">
        <v>21</v>
      </c>
      <c r="C51" s="98">
        <v>45658.0</v>
      </c>
      <c r="D51" s="98">
        <v>45689.0</v>
      </c>
      <c r="E51" s="98">
        <v>45717.0</v>
      </c>
      <c r="F51" s="98">
        <v>45748.0</v>
      </c>
      <c r="G51" s="98">
        <v>45778.0</v>
      </c>
      <c r="H51" s="98">
        <v>45809.0</v>
      </c>
      <c r="I51" s="98">
        <v>45839.0</v>
      </c>
      <c r="J51" s="98">
        <v>45870.0</v>
      </c>
      <c r="K51" s="98">
        <v>45901.0</v>
      </c>
      <c r="L51" s="98">
        <v>45931.0</v>
      </c>
      <c r="M51" s="98">
        <v>45962.0</v>
      </c>
      <c r="N51" s="98">
        <v>45992.0</v>
      </c>
      <c r="O51" s="99" t="s">
        <v>19</v>
      </c>
      <c r="P51" s="25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</row>
    <row r="52" ht="13.5" customHeight="1">
      <c r="A52" s="24"/>
      <c r="B52" s="50" t="s">
        <v>30</v>
      </c>
      <c r="C52" s="51">
        <v>22.64386931</v>
      </c>
      <c r="D52" s="51">
        <v>28.2080329655546</v>
      </c>
      <c r="E52" s="51">
        <v>29.08307809</v>
      </c>
      <c r="F52" s="51">
        <v>28.452118</v>
      </c>
      <c r="G52" s="51">
        <v>28.814172999999997</v>
      </c>
      <c r="H52" s="51">
        <v>31.90132</v>
      </c>
      <c r="I52" s="51">
        <v>24.978855</v>
      </c>
      <c r="J52" s="51">
        <v>38.06265853</v>
      </c>
      <c r="K52" s="51">
        <v>42.616382</v>
      </c>
      <c r="L52" s="51">
        <v>45.365613</v>
      </c>
      <c r="M52" s="51">
        <v>77.95617956275859</v>
      </c>
      <c r="N52" s="51">
        <v>66.24577178</v>
      </c>
      <c r="O52" s="51" t="str">
        <f t="shared" ref="O52:O53" si="55">+SUM(C52:N52)</f>
        <v>  464.3 </v>
      </c>
      <c r="P52" s="25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</row>
    <row r="53" ht="13.5" customHeight="1">
      <c r="A53" s="24"/>
      <c r="B53" s="50" t="s">
        <v>31</v>
      </c>
      <c r="C53" s="51">
        <v>0.4249346</v>
      </c>
      <c r="D53" s="51">
        <v>0.272071</v>
      </c>
      <c r="E53" s="51">
        <v>3.20367939</v>
      </c>
      <c r="F53" s="51">
        <v>2.47942173</v>
      </c>
      <c r="G53" s="51">
        <v>2.531593</v>
      </c>
      <c r="H53" s="51">
        <v>1.585664</v>
      </c>
      <c r="I53" s="51">
        <v>1.6333018</v>
      </c>
      <c r="J53" s="51">
        <v>1.17600143</v>
      </c>
      <c r="K53" s="51">
        <v>0.662047</v>
      </c>
      <c r="L53" s="51">
        <v>0.580231</v>
      </c>
      <c r="M53" s="51">
        <v>1.5443168799999998</v>
      </c>
      <c r="N53" s="51">
        <v>2.24654498</v>
      </c>
      <c r="O53" s="51" t="str">
        <f t="shared" si="55"/>
        <v>  18.3 </v>
      </c>
      <c r="P53" s="25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</row>
    <row r="54" ht="13.5" customHeight="1">
      <c r="A54" s="24"/>
      <c r="B54" s="59" t="s">
        <v>32</v>
      </c>
      <c r="C54" s="60" t="str">
        <f t="shared" ref="C54:D54" si="56">C52+C53</f>
        <v>  23.1 </v>
      </c>
      <c r="D54" s="60" t="str">
        <f t="shared" si="56"/>
        <v>  28.5 </v>
      </c>
      <c r="E54" s="60" t="str">
        <f t="shared" ref="E54:O54" si="57">E53+E52</f>
        <v>  32.3 </v>
      </c>
      <c r="F54" s="60" t="str">
        <f t="shared" si="57"/>
        <v>  30.9 </v>
      </c>
      <c r="G54" s="60" t="str">
        <f t="shared" si="57"/>
        <v>  31.3 </v>
      </c>
      <c r="H54" s="60" t="str">
        <f t="shared" si="57"/>
        <v>  33.5 </v>
      </c>
      <c r="I54" s="60" t="str">
        <f t="shared" si="57"/>
        <v>  26.6 </v>
      </c>
      <c r="J54" s="60" t="str">
        <f t="shared" si="57"/>
        <v>  39.2 </v>
      </c>
      <c r="K54" s="60" t="str">
        <f t="shared" si="57"/>
        <v>  43.3 </v>
      </c>
      <c r="L54" s="60" t="str">
        <f t="shared" si="57"/>
        <v>  45.9 </v>
      </c>
      <c r="M54" s="60" t="str">
        <f t="shared" si="57"/>
        <v>  79.5 </v>
      </c>
      <c r="N54" s="60" t="str">
        <f t="shared" si="57"/>
        <v>  68.5 </v>
      </c>
      <c r="O54" s="60" t="str">
        <f t="shared" si="57"/>
        <v>  482.7 </v>
      </c>
      <c r="P54" s="25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</row>
    <row r="55" ht="13.5" customHeight="1">
      <c r="A55" s="24"/>
      <c r="B55" s="68" t="s">
        <v>33</v>
      </c>
      <c r="C55" s="51">
        <v>-15.62330934634452</v>
      </c>
      <c r="D55" s="51">
        <v>-19.267699806838504</v>
      </c>
      <c r="E55" s="51">
        <v>-20.9817725040291</v>
      </c>
      <c r="F55" s="51">
        <v>-18.5174555716022</v>
      </c>
      <c r="G55" s="51">
        <v>-21.491495813538954</v>
      </c>
      <c r="H55" s="51">
        <v>-20.066272379999997</v>
      </c>
      <c r="I55" s="51">
        <v>-17.43793705</v>
      </c>
      <c r="J55" s="51">
        <v>-24.29180807</v>
      </c>
      <c r="K55" s="51">
        <v>-27.32952886</v>
      </c>
      <c r="L55" s="51">
        <v>-29.569436269999997</v>
      </c>
      <c r="M55" s="51">
        <v>-48.58789943</v>
      </c>
      <c r="N55" s="51">
        <v>-72.90035173000001</v>
      </c>
      <c r="O55" s="51" t="str">
        <f t="shared" ref="O55:O56" si="58">+SUM(C55:N55)</f>
        <v>  (336.1)</v>
      </c>
      <c r="P55" s="25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</row>
    <row r="56" ht="13.5" customHeight="1">
      <c r="A56" s="24"/>
      <c r="B56" s="68" t="s">
        <v>34</v>
      </c>
      <c r="C56" s="51">
        <v>0.0</v>
      </c>
      <c r="D56" s="51">
        <v>0.0</v>
      </c>
      <c r="E56" s="51">
        <v>-0.108584</v>
      </c>
      <c r="F56" s="51">
        <v>-0.03939952</v>
      </c>
      <c r="G56" s="51">
        <v>-0.01</v>
      </c>
      <c r="H56" s="51">
        <v>-0.01</v>
      </c>
      <c r="I56" s="51">
        <v>-0.00999999</v>
      </c>
      <c r="J56" s="51">
        <v>-0.001</v>
      </c>
      <c r="K56" s="51">
        <v>-0.17125075</v>
      </c>
      <c r="L56" s="51">
        <v>-0.020150619999999998</v>
      </c>
      <c r="M56" s="51">
        <v>-0.02483109</v>
      </c>
      <c r="N56" s="51">
        <v>-0.0503862</v>
      </c>
      <c r="O56" s="51" t="str">
        <f t="shared" si="58"/>
        <v>  (0.4)</v>
      </c>
      <c r="P56" s="25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</row>
    <row r="57" ht="13.5" customHeight="1">
      <c r="A57" s="24"/>
      <c r="B57" s="65" t="s">
        <v>37</v>
      </c>
      <c r="C57" s="71" t="str">
        <f t="shared" ref="C57:O57" si="59">SUM(C55:C56)</f>
        <v>  (15.6)</v>
      </c>
      <c r="D57" s="71" t="str">
        <f t="shared" si="59"/>
        <v>  (19.3)</v>
      </c>
      <c r="E57" s="71" t="str">
        <f t="shared" si="59"/>
        <v>  (21.1)</v>
      </c>
      <c r="F57" s="71" t="str">
        <f t="shared" si="59"/>
        <v>  (18.6)</v>
      </c>
      <c r="G57" s="71" t="str">
        <f t="shared" si="59"/>
        <v>  (21.5)</v>
      </c>
      <c r="H57" s="71" t="str">
        <f t="shared" si="59"/>
        <v>  (20.1)</v>
      </c>
      <c r="I57" s="71" t="str">
        <f t="shared" si="59"/>
        <v>  (17.4)</v>
      </c>
      <c r="J57" s="71" t="str">
        <f t="shared" si="59"/>
        <v>  (24.3)</v>
      </c>
      <c r="K57" s="71" t="str">
        <f t="shared" si="59"/>
        <v>  (27.5)</v>
      </c>
      <c r="L57" s="71" t="str">
        <f t="shared" si="59"/>
        <v>  (29.6)</v>
      </c>
      <c r="M57" s="71" t="str">
        <f t="shared" si="59"/>
        <v>  (48.6)</v>
      </c>
      <c r="N57" s="71" t="str">
        <f t="shared" si="59"/>
        <v>  (73.0)</v>
      </c>
      <c r="O57" s="71" t="str">
        <f t="shared" si="59"/>
        <v>  (336.5)</v>
      </c>
      <c r="P57" s="25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</row>
    <row r="58" ht="13.5" customHeight="1">
      <c r="A58" s="24"/>
      <c r="B58" s="59" t="s">
        <v>38</v>
      </c>
      <c r="C58" s="60" t="str">
        <f t="shared" ref="C58:O58" si="60">C54+C57</f>
        <v>  7.4 </v>
      </c>
      <c r="D58" s="60" t="str">
        <f t="shared" si="60"/>
        <v>  9.2 </v>
      </c>
      <c r="E58" s="60" t="str">
        <f t="shared" si="60"/>
        <v>  11.2 </v>
      </c>
      <c r="F58" s="60" t="str">
        <f t="shared" si="60"/>
        <v>  12.4 </v>
      </c>
      <c r="G58" s="60" t="str">
        <f t="shared" si="60"/>
        <v>  9.8 </v>
      </c>
      <c r="H58" s="60" t="str">
        <f t="shared" si="60"/>
        <v>  13.4 </v>
      </c>
      <c r="I58" s="60" t="str">
        <f t="shared" si="60"/>
        <v>  9.2 </v>
      </c>
      <c r="J58" s="60" t="str">
        <f t="shared" si="60"/>
        <v>  14.9 </v>
      </c>
      <c r="K58" s="60" t="str">
        <f t="shared" si="60"/>
        <v>  15.8 </v>
      </c>
      <c r="L58" s="60" t="str">
        <f t="shared" si="60"/>
        <v>  16.4 </v>
      </c>
      <c r="M58" s="60" t="str">
        <f t="shared" si="60"/>
        <v>  30.9 </v>
      </c>
      <c r="N58" s="60" t="str">
        <f t="shared" si="60"/>
        <v>  (4.5)</v>
      </c>
      <c r="O58" s="60" t="str">
        <f t="shared" si="60"/>
        <v>  146.2 </v>
      </c>
      <c r="P58" s="25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</row>
    <row r="59" ht="13.5" customHeight="1">
      <c r="A59" s="24"/>
      <c r="B59" s="68" t="s">
        <v>39</v>
      </c>
      <c r="C59" s="51">
        <v>-2.91798173</v>
      </c>
      <c r="D59" s="51">
        <v>-3.06930876</v>
      </c>
      <c r="E59" s="51">
        <v>-3.0654749297952506</v>
      </c>
      <c r="F59" s="51">
        <v>-3.197998945</v>
      </c>
      <c r="G59" s="51">
        <v>-3.06567098</v>
      </c>
      <c r="H59" s="51">
        <v>-3.247113</v>
      </c>
      <c r="I59" s="51">
        <v>-3.13077811</v>
      </c>
      <c r="J59" s="51">
        <v>-3.2574269399999998</v>
      </c>
      <c r="K59" s="51">
        <v>-3.51408759</v>
      </c>
      <c r="L59" s="51">
        <v>-3.3482371200000003</v>
      </c>
      <c r="M59" s="51">
        <v>-3.8723525418364497</v>
      </c>
      <c r="N59" s="51">
        <v>-4.13169565</v>
      </c>
      <c r="O59" s="51" t="str">
        <f t="shared" ref="O59:O66" si="61">+SUM(C59:N59)</f>
        <v>  (39.8)</v>
      </c>
      <c r="P59" s="25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</row>
    <row r="60" ht="13.5" customHeight="1">
      <c r="A60" s="24"/>
      <c r="B60" s="68" t="s">
        <v>41</v>
      </c>
      <c r="C60" s="51">
        <v>-0.05238614</v>
      </c>
      <c r="D60" s="51">
        <v>-0.611535</v>
      </c>
      <c r="E60" s="51">
        <v>-0.56056</v>
      </c>
      <c r="F60" s="51">
        <v>-0.32415381</v>
      </c>
      <c r="G60" s="51">
        <v>-0.70048418</v>
      </c>
      <c r="H60" s="51">
        <v>-0.43238965</v>
      </c>
      <c r="I60" s="51">
        <v>-0.00504263</v>
      </c>
      <c r="J60" s="51">
        <v>-0.26336602000000003</v>
      </c>
      <c r="K60" s="51">
        <v>-0.39803395</v>
      </c>
      <c r="L60" s="51">
        <v>-0.24991185999999999</v>
      </c>
      <c r="M60" s="51">
        <v>-0.36565492</v>
      </c>
      <c r="N60" s="51">
        <v>-0.550556</v>
      </c>
      <c r="O60" s="51" t="str">
        <f t="shared" si="61"/>
        <v>  (4.5)</v>
      </c>
      <c r="P60" s="25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</row>
    <row r="61" ht="13.5" customHeight="1">
      <c r="A61" s="24"/>
      <c r="B61" s="68" t="s">
        <v>43</v>
      </c>
      <c r="C61" s="51">
        <v>-0.176593</v>
      </c>
      <c r="D61" s="51">
        <v>-0.347</v>
      </c>
      <c r="E61" s="51">
        <v>-0.32491937</v>
      </c>
      <c r="F61" s="51">
        <v>-0.28726233</v>
      </c>
      <c r="G61" s="51">
        <v>-0.12399314</v>
      </c>
      <c r="H61" s="51">
        <v>-0.066</v>
      </c>
      <c r="I61" s="51">
        <v>-0.07</v>
      </c>
      <c r="J61" s="51">
        <v>-0.241672</v>
      </c>
      <c r="K61" s="51">
        <v>-0.22256736</v>
      </c>
      <c r="L61" s="51">
        <v>-0.08156736</v>
      </c>
      <c r="M61" s="51">
        <v>-0.07</v>
      </c>
      <c r="N61" s="51">
        <v>-0.16313472</v>
      </c>
      <c r="O61" s="51" t="str">
        <f t="shared" si="61"/>
        <v>  (2.2)</v>
      </c>
      <c r="P61" s="25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</row>
    <row r="62" ht="13.5" customHeight="1">
      <c r="A62" s="24"/>
      <c r="B62" s="68" t="s">
        <v>44</v>
      </c>
      <c r="C62" s="51">
        <v>-0.328177539256506</v>
      </c>
      <c r="D62" s="51">
        <v>-0.337785058</v>
      </c>
      <c r="E62" s="51">
        <v>-0.2717744014575471</v>
      </c>
      <c r="F62" s="51">
        <v>-0.268895513326853</v>
      </c>
      <c r="G62" s="51">
        <v>-0.28795669897649334</v>
      </c>
      <c r="H62" s="51">
        <v>-0.271482</v>
      </c>
      <c r="I62" s="51">
        <v>-0.260071</v>
      </c>
      <c r="J62" s="51">
        <v>-0.31683111000000097</v>
      </c>
      <c r="K62" s="51">
        <v>-0.31528931</v>
      </c>
      <c r="L62" s="51">
        <v>-0.31651476</v>
      </c>
      <c r="M62" s="51">
        <v>-0.314982</v>
      </c>
      <c r="N62" s="51">
        <v>-0.31602355</v>
      </c>
      <c r="O62" s="51" t="str">
        <f t="shared" si="61"/>
        <v>  (3.6)</v>
      </c>
      <c r="P62" s="25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</row>
    <row r="63" ht="13.5" customHeight="1">
      <c r="A63" s="24"/>
      <c r="B63" s="68" t="s">
        <v>45</v>
      </c>
      <c r="C63" s="51">
        <v>-0.112415</v>
      </c>
      <c r="D63" s="51">
        <v>-0.19004147999999998</v>
      </c>
      <c r="E63" s="51">
        <v>-0.265314</v>
      </c>
      <c r="F63" s="51">
        <v>-0.2131</v>
      </c>
      <c r="G63" s="51">
        <v>-0.220684</v>
      </c>
      <c r="H63" s="51">
        <v>-0.217887</v>
      </c>
      <c r="I63" s="51">
        <v>-0.299068</v>
      </c>
      <c r="J63" s="51">
        <v>-0.241672</v>
      </c>
      <c r="K63" s="51">
        <v>-0.22960848</v>
      </c>
      <c r="L63" s="51">
        <v>-0.22686801999999998</v>
      </c>
      <c r="M63" s="51">
        <v>-0.27129468</v>
      </c>
      <c r="N63" s="51">
        <v>-0.2301725</v>
      </c>
      <c r="O63" s="51" t="str">
        <f t="shared" si="61"/>
        <v>  (2.7)</v>
      </c>
      <c r="P63" s="93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</row>
    <row r="64" ht="13.5" customHeight="1">
      <c r="A64" s="24"/>
      <c r="B64" s="68" t="s">
        <v>46</v>
      </c>
      <c r="C64" s="51">
        <v>-1.556625E-4</v>
      </c>
      <c r="D64" s="51">
        <v>-1.556625E-4</v>
      </c>
      <c r="E64" s="51">
        <v>-1.57E-4</v>
      </c>
      <c r="F64" s="51">
        <v>-1.56E-4</v>
      </c>
      <c r="G64" s="51">
        <v>-1.46E-4</v>
      </c>
      <c r="H64" s="51">
        <v>-5.53E-4</v>
      </c>
      <c r="I64" s="51">
        <v>-6.48E-4</v>
      </c>
      <c r="J64" s="51">
        <v>-6.47E-4</v>
      </c>
      <c r="K64" s="51">
        <v>-6.8E-4</v>
      </c>
      <c r="L64" s="51">
        <v>-1.8E-4</v>
      </c>
      <c r="M64" s="51">
        <v>-2.0E-4</v>
      </c>
      <c r="N64" s="51">
        <v>-2.0E-4</v>
      </c>
      <c r="O64" s="51" t="str">
        <f t="shared" si="61"/>
        <v>  (0.0)</v>
      </c>
      <c r="P64" s="93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</row>
    <row r="65" ht="13.5" customHeight="1">
      <c r="A65" s="24"/>
      <c r="B65" s="68" t="s">
        <v>47</v>
      </c>
      <c r="C65" s="51">
        <v>-0.43258951</v>
      </c>
      <c r="D65" s="51">
        <v>-0.3879871</v>
      </c>
      <c r="E65" s="51">
        <v>-0.38034271999999997</v>
      </c>
      <c r="F65" s="51">
        <v>-0.358139</v>
      </c>
      <c r="G65" s="51">
        <v>-0.44243435</v>
      </c>
      <c r="H65" s="51">
        <v>-0.496775</v>
      </c>
      <c r="I65" s="51">
        <v>-0.53370306</v>
      </c>
      <c r="J65" s="51">
        <v>-0.50577813</v>
      </c>
      <c r="K65" s="51">
        <v>-0.5597211999999999</v>
      </c>
      <c r="L65" s="51">
        <v>-0.459092</v>
      </c>
      <c r="M65" s="51">
        <v>-0.51010665</v>
      </c>
      <c r="N65" s="51">
        <v>-0.96552554</v>
      </c>
      <c r="O65" s="51" t="str">
        <f t="shared" si="61"/>
        <v>  (6.0)</v>
      </c>
      <c r="P65" s="93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</row>
    <row r="66" ht="13.5" customHeight="1">
      <c r="A66" s="24"/>
      <c r="B66" s="68" t="s">
        <v>48</v>
      </c>
      <c r="C66" s="51">
        <v>-1.18850500630332</v>
      </c>
      <c r="D66" s="51">
        <v>-1.18422021512197</v>
      </c>
      <c r="E66" s="51">
        <v>-1.27674389839122</v>
      </c>
      <c r="F66" s="51">
        <v>-1.395286</v>
      </c>
      <c r="G66" s="51">
        <v>-1.51486781435398</v>
      </c>
      <c r="H66" s="51">
        <v>-1.61347203</v>
      </c>
      <c r="I66" s="51">
        <v>-1.4512436999999998</v>
      </c>
      <c r="J66" s="51">
        <v>-1.44393560921634</v>
      </c>
      <c r="K66" s="51">
        <v>-1.36977784</v>
      </c>
      <c r="L66" s="51">
        <v>-1.60292175</v>
      </c>
      <c r="M66" s="51">
        <v>-1.4618729799999999</v>
      </c>
      <c r="N66" s="51">
        <v>-1.74378074</v>
      </c>
      <c r="O66" s="51" t="str">
        <f t="shared" si="61"/>
        <v>  (17.2)</v>
      </c>
      <c r="P66" s="93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</row>
    <row r="67" ht="13.5" customHeight="1">
      <c r="A67" s="24"/>
      <c r="B67" s="59" t="s">
        <v>49</v>
      </c>
      <c r="C67" s="60" t="str">
        <f t="shared" ref="C67:O67" si="62">+SUM(C59:C66)</f>
        <v>  (5.2)</v>
      </c>
      <c r="D67" s="60" t="str">
        <f t="shared" si="62"/>
        <v>  (6.1)</v>
      </c>
      <c r="E67" s="60" t="str">
        <f t="shared" si="62"/>
        <v>  (6.1)</v>
      </c>
      <c r="F67" s="60" t="str">
        <f t="shared" si="62"/>
        <v>  (6.0)</v>
      </c>
      <c r="G67" s="60" t="str">
        <f t="shared" si="62"/>
        <v>  (6.4)</v>
      </c>
      <c r="H67" s="60" t="str">
        <f t="shared" si="62"/>
        <v>  (6.3)</v>
      </c>
      <c r="I67" s="60" t="str">
        <f t="shared" si="62"/>
        <v>  (5.8)</v>
      </c>
      <c r="J67" s="60" t="str">
        <f t="shared" si="62"/>
        <v>  (6.3)</v>
      </c>
      <c r="K67" s="60" t="str">
        <f t="shared" si="62"/>
        <v>  (6.6)</v>
      </c>
      <c r="L67" s="60" t="str">
        <f t="shared" si="62"/>
        <v>  (6.3)</v>
      </c>
      <c r="M67" s="60" t="str">
        <f t="shared" si="62"/>
        <v>  (6.9)</v>
      </c>
      <c r="N67" s="60" t="str">
        <f t="shared" si="62"/>
        <v>  (8.1)</v>
      </c>
      <c r="O67" s="60" t="str">
        <f t="shared" si="62"/>
        <v>  (76.1)</v>
      </c>
      <c r="P67" s="93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</row>
    <row r="68" ht="13.5" customHeight="1">
      <c r="A68" s="24"/>
      <c r="B68" s="95" t="s">
        <v>50</v>
      </c>
      <c r="C68" s="96" t="str">
        <f t="shared" ref="C68:O68" si="63">C58+C67</f>
        <v>  2.2 </v>
      </c>
      <c r="D68" s="96" t="str">
        <f t="shared" si="63"/>
        <v>  3.1 </v>
      </c>
      <c r="E68" s="96" t="str">
        <f t="shared" si="63"/>
        <v>  5.1 </v>
      </c>
      <c r="F68" s="96" t="str">
        <f t="shared" si="63"/>
        <v>  6.3 </v>
      </c>
      <c r="G68" s="96" t="str">
        <f t="shared" si="63"/>
        <v>  3.5 </v>
      </c>
      <c r="H68" s="96" t="str">
        <f t="shared" si="63"/>
        <v>  7.1 </v>
      </c>
      <c r="I68" s="96" t="str">
        <f t="shared" si="63"/>
        <v>  3.4 </v>
      </c>
      <c r="J68" s="96" t="str">
        <f t="shared" si="63"/>
        <v>  8.7 </v>
      </c>
      <c r="K68" s="96" t="str">
        <f t="shared" si="63"/>
        <v>  9.2 </v>
      </c>
      <c r="L68" s="96" t="str">
        <f t="shared" si="63"/>
        <v>  10.1 </v>
      </c>
      <c r="M68" s="96" t="str">
        <f t="shared" si="63"/>
        <v>  24.0 </v>
      </c>
      <c r="N68" s="96" t="str">
        <f t="shared" si="63"/>
        <v>  (12.6)</v>
      </c>
      <c r="O68" s="96" t="str">
        <f t="shared" si="63"/>
        <v>  70.0 </v>
      </c>
      <c r="P68" s="93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</row>
    <row r="69" ht="13.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93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</row>
    <row r="70" ht="13.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93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</row>
    <row r="71" ht="13.5" customHeight="1">
      <c r="A71" s="24"/>
      <c r="B71" s="100" t="s">
        <v>54</v>
      </c>
      <c r="C71" s="101">
        <v>45658.0</v>
      </c>
      <c r="D71" s="101">
        <v>45689.0</v>
      </c>
      <c r="E71" s="101">
        <v>45717.0</v>
      </c>
      <c r="F71" s="101">
        <v>45748.0</v>
      </c>
      <c r="G71" s="101">
        <v>45778.0</v>
      </c>
      <c r="H71" s="101">
        <v>45809.0</v>
      </c>
      <c r="I71" s="101">
        <v>45839.0</v>
      </c>
      <c r="J71" s="101">
        <v>45870.0</v>
      </c>
      <c r="K71" s="101">
        <v>45901.0</v>
      </c>
      <c r="L71" s="101">
        <v>45931.0</v>
      </c>
      <c r="M71" s="101">
        <v>45962.0</v>
      </c>
      <c r="N71" s="101">
        <v>45992.0</v>
      </c>
      <c r="O71" s="102" t="s">
        <v>19</v>
      </c>
      <c r="P71" s="25"/>
      <c r="Q71" s="24"/>
      <c r="R71" s="41" t="s">
        <v>4</v>
      </c>
      <c r="S71" s="42">
        <v>46023.0</v>
      </c>
      <c r="T71" s="42">
        <v>46054.0</v>
      </c>
      <c r="U71" s="43">
        <v>46082.0</v>
      </c>
      <c r="V71" s="43">
        <v>46113.0</v>
      </c>
      <c r="W71" s="43">
        <v>46143.0</v>
      </c>
      <c r="X71" s="43">
        <v>46174.0</v>
      </c>
      <c r="Y71" s="43">
        <v>46204.0</v>
      </c>
      <c r="Z71" s="43">
        <v>46235.0</v>
      </c>
      <c r="AA71" s="43">
        <v>46266.0</v>
      </c>
      <c r="AB71" s="43">
        <v>46296.0</v>
      </c>
      <c r="AC71" s="43">
        <v>46327.0</v>
      </c>
      <c r="AD71" s="43">
        <v>46357.0</v>
      </c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</row>
    <row r="72" ht="13.5" customHeight="1">
      <c r="A72" s="24"/>
      <c r="B72" s="50" t="s">
        <v>30</v>
      </c>
      <c r="C72" s="51">
        <v>18.424488322458348</v>
      </c>
      <c r="D72" s="51">
        <v>25.520871271960615</v>
      </c>
      <c r="E72" s="51">
        <v>28.538882639028973</v>
      </c>
      <c r="F72" s="51">
        <v>28.652001165960858</v>
      </c>
      <c r="G72" s="51">
        <v>29.754647689861983</v>
      </c>
      <c r="H72" s="51">
        <v>31.157334169320432</v>
      </c>
      <c r="I72" s="51">
        <v>34.51414139228531</v>
      </c>
      <c r="J72" s="51">
        <v>33.60574164966533</v>
      </c>
      <c r="K72" s="51">
        <v>38.898335913389054</v>
      </c>
      <c r="L72" s="51">
        <v>37.27938211041888</v>
      </c>
      <c r="M72" s="51">
        <v>38.19767644412456</v>
      </c>
      <c r="N72" s="51">
        <v>75.45649723152566</v>
      </c>
      <c r="O72" s="51" t="str">
        <f t="shared" ref="O72:O73" si="65">+SUM(C72:N72)</f>
        <v>  420.0 </v>
      </c>
      <c r="P72" s="25"/>
      <c r="Q72" s="24"/>
      <c r="R72" s="50" t="s">
        <v>30</v>
      </c>
      <c r="S72" s="92" t="str">
        <f t="shared" ref="S72:AB72" si="64">C52/C72</f>
        <v>123%</v>
      </c>
      <c r="T72" s="92" t="str">
        <f t="shared" si="64"/>
        <v>111%</v>
      </c>
      <c r="U72" s="92" t="str">
        <f t="shared" si="64"/>
        <v>102%</v>
      </c>
      <c r="V72" s="92" t="str">
        <f t="shared" si="64"/>
        <v>99%</v>
      </c>
      <c r="W72" s="92" t="str">
        <f t="shared" si="64"/>
        <v>97%</v>
      </c>
      <c r="X72" s="92" t="str">
        <f t="shared" si="64"/>
        <v>102%</v>
      </c>
      <c r="Y72" s="92" t="str">
        <f t="shared" si="64"/>
        <v>72%</v>
      </c>
      <c r="Z72" s="92" t="str">
        <f t="shared" si="64"/>
        <v>113%</v>
      </c>
      <c r="AA72" s="92" t="str">
        <f t="shared" si="64"/>
        <v>110%</v>
      </c>
      <c r="AB72" s="92" t="str">
        <f t="shared" si="64"/>
        <v>122%</v>
      </c>
      <c r="AC72" s="103" t="str">
        <f>AVERAGE(Y72:AB72)</f>
        <v>104%</v>
      </c>
      <c r="AD72" s="92" t="str">
        <f>N52/N72</f>
        <v>88%</v>
      </c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</row>
    <row r="73" ht="13.5" customHeight="1">
      <c r="A73" s="24"/>
      <c r="B73" s="50" t="s">
        <v>31</v>
      </c>
      <c r="C73" s="51">
        <v>5.059285814999999</v>
      </c>
      <c r="D73" s="51">
        <v>3.8336326935940095</v>
      </c>
      <c r="E73" s="51">
        <v>3.5308549531916067</v>
      </c>
      <c r="F73" s="51">
        <v>7.864399372567313</v>
      </c>
      <c r="G73" s="51">
        <v>6.668188379871393</v>
      </c>
      <c r="H73" s="51">
        <v>5.85324183791075</v>
      </c>
      <c r="I73" s="51">
        <v>4.427384124220962</v>
      </c>
      <c r="J73" s="51">
        <v>4.717547950344569</v>
      </c>
      <c r="K73" s="51">
        <v>4.567254856190848</v>
      </c>
      <c r="L73" s="51">
        <v>8.402114665615413</v>
      </c>
      <c r="M73" s="51">
        <v>7.827295868562836</v>
      </c>
      <c r="N73" s="51">
        <v>12.248799482930293</v>
      </c>
      <c r="O73" s="51" t="str">
        <f t="shared" si="65"/>
        <v>  75.0 </v>
      </c>
      <c r="P73" s="25"/>
      <c r="Q73" s="24"/>
      <c r="R73" s="50" t="s">
        <v>31</v>
      </c>
      <c r="S73" s="92" t="str">
        <f t="shared" ref="S73:AD73" si="66">C53/C73</f>
        <v>8%</v>
      </c>
      <c r="T73" s="92" t="str">
        <f t="shared" si="66"/>
        <v>7%</v>
      </c>
      <c r="U73" s="92" t="str">
        <f t="shared" si="66"/>
        <v>91%</v>
      </c>
      <c r="V73" s="92" t="str">
        <f t="shared" si="66"/>
        <v>32%</v>
      </c>
      <c r="W73" s="92" t="str">
        <f t="shared" si="66"/>
        <v>38%</v>
      </c>
      <c r="X73" s="92" t="str">
        <f t="shared" si="66"/>
        <v>27%</v>
      </c>
      <c r="Y73" s="92" t="str">
        <f t="shared" si="66"/>
        <v>37%</v>
      </c>
      <c r="Z73" s="92" t="str">
        <f t="shared" si="66"/>
        <v>25%</v>
      </c>
      <c r="AA73" s="92" t="str">
        <f t="shared" si="66"/>
        <v>14%</v>
      </c>
      <c r="AB73" s="92" t="str">
        <f t="shared" si="66"/>
        <v>7%</v>
      </c>
      <c r="AC73" s="92" t="str">
        <f t="shared" si="66"/>
        <v>20%</v>
      </c>
      <c r="AD73" s="92" t="str">
        <f t="shared" si="66"/>
        <v>18%</v>
      </c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</row>
    <row r="74" ht="13.5" customHeight="1">
      <c r="A74" s="24"/>
      <c r="B74" s="59" t="s">
        <v>32</v>
      </c>
      <c r="C74" s="60" t="str">
        <f t="shared" ref="C74:D74" si="67">C72+C73</f>
        <v>  23.5 </v>
      </c>
      <c r="D74" s="60" t="str">
        <f t="shared" si="67"/>
        <v>  29.4 </v>
      </c>
      <c r="E74" s="60" t="str">
        <f t="shared" ref="E74:O74" si="68">E73+E72</f>
        <v>  32.1 </v>
      </c>
      <c r="F74" s="60" t="str">
        <f t="shared" si="68"/>
        <v>  36.5 </v>
      </c>
      <c r="G74" s="60" t="str">
        <f t="shared" si="68"/>
        <v>  36.4 </v>
      </c>
      <c r="H74" s="60" t="str">
        <f t="shared" si="68"/>
        <v>  37.0 </v>
      </c>
      <c r="I74" s="60" t="str">
        <f t="shared" si="68"/>
        <v>  38.9 </v>
      </c>
      <c r="J74" s="60" t="str">
        <f t="shared" si="68"/>
        <v>  38.3 </v>
      </c>
      <c r="K74" s="60" t="str">
        <f t="shared" si="68"/>
        <v>  43.5 </v>
      </c>
      <c r="L74" s="60" t="str">
        <f t="shared" si="68"/>
        <v>  45.7 </v>
      </c>
      <c r="M74" s="60" t="str">
        <f t="shared" si="68"/>
        <v>  46.0 </v>
      </c>
      <c r="N74" s="60" t="str">
        <f t="shared" si="68"/>
        <v>  87.7 </v>
      </c>
      <c r="O74" s="60" t="str">
        <f t="shared" si="68"/>
        <v>  495.0 </v>
      </c>
      <c r="P74" s="25"/>
      <c r="Q74" s="24"/>
      <c r="R74" s="59" t="s">
        <v>32</v>
      </c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</row>
    <row r="75" ht="13.5" customHeight="1">
      <c r="A75" s="24"/>
      <c r="B75" s="68" t="s">
        <v>33</v>
      </c>
      <c r="C75" s="51">
        <v>-14.860045563366258</v>
      </c>
      <c r="D75" s="51">
        <v>-18.681512066600245</v>
      </c>
      <c r="E75" s="51">
        <v>-20.43765094220901</v>
      </c>
      <c r="F75" s="51">
        <v>-23.106932852589203</v>
      </c>
      <c r="G75" s="51">
        <v>-23.098062294110335</v>
      </c>
      <c r="H75" s="51">
        <v>-23.51027104597984</v>
      </c>
      <c r="I75" s="51">
        <v>-24.81096734108037</v>
      </c>
      <c r="J75" s="51">
        <v>-24.40164087093161</v>
      </c>
      <c r="K75" s="51">
        <v>-27.70943076622533</v>
      </c>
      <c r="L75" s="51">
        <v>-28.967910422525676</v>
      </c>
      <c r="M75" s="51">
        <v>-29.21302396157082</v>
      </c>
      <c r="N75" s="51">
        <v>-55.78255187281131</v>
      </c>
      <c r="O75" s="51" t="str">
        <f t="shared" ref="O75:O76" si="69">+SUM(C75:N75)</f>
        <v>  (314.6)</v>
      </c>
      <c r="P75" s="25"/>
      <c r="Q75" s="24"/>
      <c r="R75" s="68" t="s">
        <v>33</v>
      </c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</row>
    <row r="76" ht="13.5" customHeight="1">
      <c r="A76" s="24"/>
      <c r="B76" s="68" t="s">
        <v>34</v>
      </c>
      <c r="C76" s="51">
        <v>-0.2248019562978334</v>
      </c>
      <c r="D76" s="51">
        <v>-0.21658131486985024</v>
      </c>
      <c r="E76" s="51">
        <v>-0.21961039849143857</v>
      </c>
      <c r="F76" s="51">
        <v>-0.3494913992578539</v>
      </c>
      <c r="G76" s="51">
        <v>-0.31817515037160693</v>
      </c>
      <c r="H76" s="51">
        <v>-0.2994461595695495</v>
      </c>
      <c r="I76" s="51">
        <v>-0.2702877714125407</v>
      </c>
      <c r="J76" s="51">
        <v>-0.2753203987156192</v>
      </c>
      <c r="K76" s="51">
        <v>-0.29200202202512293</v>
      </c>
      <c r="L76" s="51">
        <v>-0.40006068645472254</v>
      </c>
      <c r="M76" s="51">
        <v>-0.3865659423842417</v>
      </c>
      <c r="N76" s="51">
        <v>-0.6676568001496208</v>
      </c>
      <c r="O76" s="51" t="str">
        <f t="shared" si="69"/>
        <v>  (3.9)</v>
      </c>
      <c r="P76" s="25"/>
      <c r="Q76" s="24"/>
      <c r="R76" s="68" t="s">
        <v>34</v>
      </c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</row>
    <row r="77" ht="13.5" customHeight="1">
      <c r="A77" s="24"/>
      <c r="B77" s="65" t="s">
        <v>37</v>
      </c>
      <c r="C77" s="71" t="str">
        <f t="shared" ref="C77:O77" si="70">SUM(C75:C76)</f>
        <v>  (15.1)</v>
      </c>
      <c r="D77" s="71" t="str">
        <f t="shared" si="70"/>
        <v>  (18.9)</v>
      </c>
      <c r="E77" s="71" t="str">
        <f t="shared" si="70"/>
        <v>  (20.7)</v>
      </c>
      <c r="F77" s="71" t="str">
        <f t="shared" si="70"/>
        <v>  (23.5)</v>
      </c>
      <c r="G77" s="71" t="str">
        <f t="shared" si="70"/>
        <v>  (23.4)</v>
      </c>
      <c r="H77" s="71" t="str">
        <f t="shared" si="70"/>
        <v>  (23.8)</v>
      </c>
      <c r="I77" s="71" t="str">
        <f t="shared" si="70"/>
        <v>  (25.1)</v>
      </c>
      <c r="J77" s="71" t="str">
        <f t="shared" si="70"/>
        <v>  (24.7)</v>
      </c>
      <c r="K77" s="71" t="str">
        <f t="shared" si="70"/>
        <v>  (28.0)</v>
      </c>
      <c r="L77" s="71" t="str">
        <f t="shared" si="70"/>
        <v>  (29.4)</v>
      </c>
      <c r="M77" s="71" t="str">
        <f t="shared" si="70"/>
        <v>  (29.6)</v>
      </c>
      <c r="N77" s="71" t="str">
        <f t="shared" si="70"/>
        <v>  (56.5)</v>
      </c>
      <c r="O77" s="71" t="str">
        <f t="shared" si="70"/>
        <v>  (318.5)</v>
      </c>
      <c r="P77" s="25"/>
      <c r="Q77" s="24"/>
      <c r="R77" s="65" t="s">
        <v>37</v>
      </c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</row>
    <row r="78" ht="13.5" customHeight="1">
      <c r="A78" s="24"/>
      <c r="B78" s="59" t="s">
        <v>38</v>
      </c>
      <c r="C78" s="60" t="str">
        <f t="shared" ref="C78:O78" si="71">C74+C77</f>
        <v>  8.4 </v>
      </c>
      <c r="D78" s="60" t="str">
        <f t="shared" si="71"/>
        <v>  10.5 </v>
      </c>
      <c r="E78" s="60" t="str">
        <f t="shared" si="71"/>
        <v>  11.4 </v>
      </c>
      <c r="F78" s="60" t="str">
        <f t="shared" si="71"/>
        <v>  13.1 </v>
      </c>
      <c r="G78" s="60" t="str">
        <f t="shared" si="71"/>
        <v>  13.0 </v>
      </c>
      <c r="H78" s="60" t="str">
        <f t="shared" si="71"/>
        <v>  13.2 </v>
      </c>
      <c r="I78" s="60" t="str">
        <f t="shared" si="71"/>
        <v>  13.9 </v>
      </c>
      <c r="J78" s="60" t="str">
        <f t="shared" si="71"/>
        <v>  13.6 </v>
      </c>
      <c r="K78" s="60" t="str">
        <f t="shared" si="71"/>
        <v>  15.5 </v>
      </c>
      <c r="L78" s="60" t="str">
        <f t="shared" si="71"/>
        <v>  16.3 </v>
      </c>
      <c r="M78" s="60" t="str">
        <f t="shared" si="71"/>
        <v>  16.4 </v>
      </c>
      <c r="N78" s="60" t="str">
        <f t="shared" si="71"/>
        <v>  31.3 </v>
      </c>
      <c r="O78" s="60" t="str">
        <f t="shared" si="71"/>
        <v>  176.5 </v>
      </c>
      <c r="P78" s="25"/>
      <c r="Q78" s="24"/>
      <c r="R78" s="59" t="s">
        <v>38</v>
      </c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</row>
    <row r="79" ht="13.5" customHeight="1">
      <c r="A79" s="24"/>
      <c r="B79" s="68" t="s">
        <v>39</v>
      </c>
      <c r="C79" s="51">
        <v>-2.947605885800001</v>
      </c>
      <c r="D79" s="51">
        <v>-2.947605885800001</v>
      </c>
      <c r="E79" s="51">
        <v>-2.947605885800001</v>
      </c>
      <c r="F79" s="51">
        <v>-2.947605885800001</v>
      </c>
      <c r="G79" s="51">
        <v>-3.656877085800001</v>
      </c>
      <c r="H79" s="51">
        <v>-3.656877085800001</v>
      </c>
      <c r="I79" s="51">
        <v>-3.656877085800001</v>
      </c>
      <c r="J79" s="51">
        <v>-3.656877085800001</v>
      </c>
      <c r="K79" s="51">
        <v>-3.656877085800001</v>
      </c>
      <c r="L79" s="51">
        <v>-3.656877085800001</v>
      </c>
      <c r="M79" s="51">
        <v>-3.656877085800001</v>
      </c>
      <c r="N79" s="51">
        <v>-3.656877085800001</v>
      </c>
      <c r="O79" s="51" t="str">
        <f t="shared" ref="O79:O86" si="72">+SUM(C79:N79)</f>
        <v>  (41.0)</v>
      </c>
      <c r="P79" s="25"/>
      <c r="Q79" s="24"/>
      <c r="R79" s="68" t="s">
        <v>39</v>
      </c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</row>
    <row r="80" ht="13.5" customHeight="1">
      <c r="A80" s="24"/>
      <c r="B80" s="68" t="s">
        <v>41</v>
      </c>
      <c r="C80" s="51">
        <v>-0.74517835</v>
      </c>
      <c r="D80" s="51">
        <v>-0.69517835</v>
      </c>
      <c r="E80" s="51">
        <v>-0.95517835</v>
      </c>
      <c r="F80" s="51">
        <v>-0.59517835</v>
      </c>
      <c r="G80" s="51">
        <v>-0.34517834999999997</v>
      </c>
      <c r="H80" s="51">
        <v>-0.52517835</v>
      </c>
      <c r="I80" s="51">
        <v>-0.5651783499999999</v>
      </c>
      <c r="J80" s="51">
        <v>-0.34517834999999997</v>
      </c>
      <c r="K80" s="51">
        <v>-0.50517835</v>
      </c>
      <c r="L80" s="51">
        <v>-0.34517834999999997</v>
      </c>
      <c r="M80" s="51">
        <v>-0.34517834999999997</v>
      </c>
      <c r="N80" s="51">
        <v>-0.50517835</v>
      </c>
      <c r="O80" s="51" t="str">
        <f t="shared" si="72"/>
        <v>  (6.5)</v>
      </c>
      <c r="P80" s="25"/>
      <c r="Q80" s="24"/>
      <c r="R80" s="68" t="s">
        <v>41</v>
      </c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</row>
    <row r="81" ht="13.5" customHeight="1">
      <c r="A81" s="24"/>
      <c r="B81" s="68" t="s">
        <v>43</v>
      </c>
      <c r="C81" s="51">
        <v>-0.1761079281402486</v>
      </c>
      <c r="D81" s="51">
        <v>-0.2570679281402486</v>
      </c>
      <c r="E81" s="51">
        <v>-0.9000679281402486</v>
      </c>
      <c r="F81" s="51">
        <v>-0.7050679281402487</v>
      </c>
      <c r="G81" s="51">
        <v>-0.4445679281402486</v>
      </c>
      <c r="H81" s="51">
        <v>-0.14806792814024858</v>
      </c>
      <c r="I81" s="51">
        <v>-0.18306792814024858</v>
      </c>
      <c r="J81" s="51">
        <v>-0.11806792814024858</v>
      </c>
      <c r="K81" s="51">
        <v>-0.18806792814024859</v>
      </c>
      <c r="L81" s="51">
        <v>-0.3050679281402486</v>
      </c>
      <c r="M81" s="51">
        <v>-0.18006792814024858</v>
      </c>
      <c r="N81" s="51">
        <v>-0.08806792814024858</v>
      </c>
      <c r="O81" s="51" t="str">
        <f t="shared" si="72"/>
        <v>  (3.7)</v>
      </c>
      <c r="P81" s="25"/>
      <c r="Q81" s="24"/>
      <c r="R81" s="68" t="s">
        <v>43</v>
      </c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</row>
    <row r="82" ht="13.5" customHeight="1">
      <c r="A82" s="24"/>
      <c r="B82" s="68" t="s">
        <v>44</v>
      </c>
      <c r="C82" s="51">
        <v>-0.3377855181422352</v>
      </c>
      <c r="D82" s="51">
        <v>-0.3377855181422352</v>
      </c>
      <c r="E82" s="51">
        <v>-0.3377855181422352</v>
      </c>
      <c r="F82" s="51">
        <v>-0.3377855181422352</v>
      </c>
      <c r="G82" s="51">
        <v>-0.3377855181422352</v>
      </c>
      <c r="H82" s="51">
        <v>-0.3377855181422352</v>
      </c>
      <c r="I82" s="51">
        <v>-0.3377855181422352</v>
      </c>
      <c r="J82" s="51">
        <v>-0.3377855181422352</v>
      </c>
      <c r="K82" s="51">
        <v>-0.3377855181422352</v>
      </c>
      <c r="L82" s="51">
        <v>-0.3377855181422352</v>
      </c>
      <c r="M82" s="51">
        <v>-0.3377855181422352</v>
      </c>
      <c r="N82" s="51">
        <v>-0.3377855181422352</v>
      </c>
      <c r="O82" s="51" t="str">
        <f t="shared" si="72"/>
        <v>  (4.1)</v>
      </c>
      <c r="P82" s="25"/>
      <c r="Q82" s="24"/>
      <c r="R82" s="68" t="s">
        <v>44</v>
      </c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</row>
    <row r="83" ht="13.5" customHeight="1">
      <c r="A83" s="24"/>
      <c r="B83" s="68" t="s">
        <v>45</v>
      </c>
      <c r="C83" s="51">
        <v>-0.11926407600000008</v>
      </c>
      <c r="D83" s="51">
        <v>-0.118780236</v>
      </c>
      <c r="E83" s="51">
        <v>-0.12397104</v>
      </c>
      <c r="F83" s="51">
        <v>-0.13701096000000001</v>
      </c>
      <c r="G83" s="51">
        <v>-0.133876854</v>
      </c>
      <c r="H83" s="51">
        <v>-0.1355508</v>
      </c>
      <c r="I83" s="51">
        <v>-0.13860288</v>
      </c>
      <c r="J83" s="51">
        <v>-0.151760358</v>
      </c>
      <c r="K83" s="51">
        <v>-0.13159044</v>
      </c>
      <c r="L83" s="51">
        <v>-0.181109523672</v>
      </c>
      <c r="M83" s="51">
        <v>-0.181109523672</v>
      </c>
      <c r="N83" s="51">
        <v>-0.181109523672</v>
      </c>
      <c r="O83" s="51" t="str">
        <f t="shared" si="72"/>
        <v>  (1.7)</v>
      </c>
      <c r="P83" s="25"/>
      <c r="Q83" s="24"/>
      <c r="R83" s="68" t="s">
        <v>45</v>
      </c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</row>
    <row r="84" ht="13.5" customHeight="1">
      <c r="A84" s="24"/>
      <c r="B84" s="68" t="s">
        <v>46</v>
      </c>
      <c r="C84" s="51">
        <v>-6.690447172499999E-4</v>
      </c>
      <c r="D84" s="51">
        <v>-0.015380399999999999</v>
      </c>
      <c r="E84" s="51">
        <v>-0.023077964705249997</v>
      </c>
      <c r="F84" s="51">
        <v>-0.02117002507216275</v>
      </c>
      <c r="G84" s="51">
        <v>-0.02117002507216275</v>
      </c>
      <c r="H84" s="51">
        <v>-0.021168097507216273</v>
      </c>
      <c r="I84" s="51">
        <v>-0.020013097507216273</v>
      </c>
      <c r="J84" s="51">
        <v>-0.0200025</v>
      </c>
      <c r="K84" s="51">
        <v>-0.00200025</v>
      </c>
      <c r="L84" s="51">
        <v>-0.02846117442802666</v>
      </c>
      <c r="M84" s="51">
        <v>-0.02846117442802666</v>
      </c>
      <c r="N84" s="51">
        <v>-0.02846117442802666</v>
      </c>
      <c r="O84" s="51" t="str">
        <f t="shared" si="72"/>
        <v>  (0.2)</v>
      </c>
      <c r="P84" s="25"/>
      <c r="Q84" s="24"/>
      <c r="R84" s="68" t="s">
        <v>46</v>
      </c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</row>
    <row r="85" ht="13.5" customHeight="1">
      <c r="A85" s="24"/>
      <c r="B85" s="68" t="s">
        <v>47</v>
      </c>
      <c r="C85" s="51">
        <v>-0.44714745260000005</v>
      </c>
      <c r="D85" s="51">
        <v>-0.44714745260000005</v>
      </c>
      <c r="E85" s="51">
        <v>-0.44714745260000005</v>
      </c>
      <c r="F85" s="51">
        <v>-0.44714745260000005</v>
      </c>
      <c r="G85" s="51">
        <v>-0.44714745260000005</v>
      </c>
      <c r="H85" s="51">
        <v>-0.44714745260000005</v>
      </c>
      <c r="I85" s="51">
        <v>-0.44714745260000005</v>
      </c>
      <c r="J85" s="51">
        <v>-0.44714745260000005</v>
      </c>
      <c r="K85" s="51">
        <v>-0.44714745260000005</v>
      </c>
      <c r="L85" s="51">
        <v>-0.44714745260000005</v>
      </c>
      <c r="M85" s="51">
        <v>-0.44714745260000005</v>
      </c>
      <c r="N85" s="51">
        <v>-0.44714745260000005</v>
      </c>
      <c r="O85" s="51" t="str">
        <f t="shared" si="72"/>
        <v>  (5.4)</v>
      </c>
      <c r="P85" s="25"/>
      <c r="Q85" s="24"/>
      <c r="R85" s="68" t="s">
        <v>47</v>
      </c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</row>
    <row r="86" ht="13.5" customHeight="1">
      <c r="A86" s="24"/>
      <c r="B86" s="68" t="s">
        <v>48</v>
      </c>
      <c r="C86" s="51">
        <v>-1.1887698654163592</v>
      </c>
      <c r="D86" s="51">
        <v>-1.184954244287147</v>
      </c>
      <c r="E86" s="51">
        <v>-1.276744198713971</v>
      </c>
      <c r="F86" s="51">
        <v>-1.33278694194565</v>
      </c>
      <c r="G86" s="51">
        <v>-1.4265934057219438</v>
      </c>
      <c r="H86" s="51">
        <v>-1.4394656920937918</v>
      </c>
      <c r="I86" s="51">
        <v>-1.639696452027083</v>
      </c>
      <c r="J86" s="51">
        <v>-1.366139958355359</v>
      </c>
      <c r="K86" s="51">
        <v>-2.0101214163366294</v>
      </c>
      <c r="L86" s="51">
        <v>-1.8689539806028799</v>
      </c>
      <c r="M86" s="51">
        <v>-2.252356044528703</v>
      </c>
      <c r="N86" s="51">
        <v>-2.2515914414230482</v>
      </c>
      <c r="O86" s="51" t="str">
        <f t="shared" si="72"/>
        <v>  (19.2)</v>
      </c>
      <c r="P86" s="25"/>
      <c r="Q86" s="24"/>
      <c r="R86" s="68" t="s">
        <v>48</v>
      </c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</row>
    <row r="87" ht="13.5" customHeight="1">
      <c r="A87" s="24"/>
      <c r="B87" s="59" t="s">
        <v>49</v>
      </c>
      <c r="C87" s="60" t="str">
        <f t="shared" ref="C87:O87" si="73">+SUM(C79:C86)</f>
        <v>  (6.0)</v>
      </c>
      <c r="D87" s="60" t="str">
        <f t="shared" si="73"/>
        <v>  (6.0)</v>
      </c>
      <c r="E87" s="60" t="str">
        <f t="shared" si="73"/>
        <v>  (7.0)</v>
      </c>
      <c r="F87" s="60" t="str">
        <f t="shared" si="73"/>
        <v>  (6.5)</v>
      </c>
      <c r="G87" s="60" t="str">
        <f t="shared" si="73"/>
        <v>  (6.8)</v>
      </c>
      <c r="H87" s="60" t="str">
        <f t="shared" si="73"/>
        <v>  (6.7)</v>
      </c>
      <c r="I87" s="60" t="str">
        <f t="shared" si="73"/>
        <v>  (7.0)</v>
      </c>
      <c r="J87" s="60" t="str">
        <f t="shared" si="73"/>
        <v>  (6.4)</v>
      </c>
      <c r="K87" s="60" t="str">
        <f t="shared" si="73"/>
        <v>  (7.3)</v>
      </c>
      <c r="L87" s="60" t="str">
        <f t="shared" si="73"/>
        <v>  (7.2)</v>
      </c>
      <c r="M87" s="60" t="str">
        <f t="shared" si="73"/>
        <v>  (7.4)</v>
      </c>
      <c r="N87" s="60" t="str">
        <f t="shared" si="73"/>
        <v>  (7.5)</v>
      </c>
      <c r="O87" s="60" t="str">
        <f t="shared" si="73"/>
        <v>  (81.8)</v>
      </c>
      <c r="P87" s="25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</row>
    <row r="88" ht="13.5" customHeight="1">
      <c r="A88" s="24"/>
      <c r="B88" s="95" t="s">
        <v>50</v>
      </c>
      <c r="C88" s="96" t="str">
        <f t="shared" ref="C88:O88" si="74">C78+C87</f>
        <v>  2.4 </v>
      </c>
      <c r="D88" s="96" t="str">
        <f t="shared" si="74"/>
        <v>  4.5 </v>
      </c>
      <c r="E88" s="96" t="str">
        <f t="shared" si="74"/>
        <v>  4.4 </v>
      </c>
      <c r="F88" s="96" t="str">
        <f t="shared" si="74"/>
        <v>  6.5 </v>
      </c>
      <c r="G88" s="96" t="str">
        <f t="shared" si="74"/>
        <v>  6.2 </v>
      </c>
      <c r="H88" s="96" t="str">
        <f t="shared" si="74"/>
        <v>  6.5 </v>
      </c>
      <c r="I88" s="96" t="str">
        <f t="shared" si="74"/>
        <v>  6.9 </v>
      </c>
      <c r="J88" s="96" t="str">
        <f t="shared" si="74"/>
        <v>  7.2 </v>
      </c>
      <c r="K88" s="96" t="str">
        <f t="shared" si="74"/>
        <v>  8.2 </v>
      </c>
      <c r="L88" s="96" t="str">
        <f t="shared" si="74"/>
        <v>  9.1 </v>
      </c>
      <c r="M88" s="96" t="str">
        <f t="shared" si="74"/>
        <v>  9.0 </v>
      </c>
      <c r="N88" s="96" t="str">
        <f t="shared" si="74"/>
        <v>  23.8 </v>
      </c>
      <c r="O88" s="96" t="str">
        <f t="shared" si="74"/>
        <v>  94.7 </v>
      </c>
      <c r="P88" s="25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</row>
    <row r="89" ht="13.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5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</row>
    <row r="90" ht="13.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5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</row>
    <row r="91" ht="13.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5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</row>
    <row r="92" ht="13.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5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</row>
    <row r="93" ht="13.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5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</row>
    <row r="94" ht="13.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5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</row>
    <row r="95" ht="13.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5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</row>
    <row r="96" ht="13.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5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</row>
    <row r="97" ht="13.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5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</row>
    <row r="98" ht="13.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5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</row>
    <row r="99" ht="13.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5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</row>
    <row r="100" ht="13.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5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</row>
  </sheetData>
  <mergeCells count="7">
    <mergeCell ref="AE2:AF3"/>
    <mergeCell ref="AG2:AH3"/>
    <mergeCell ref="AI2:AJ3"/>
    <mergeCell ref="AK2:AK3"/>
    <mergeCell ref="AL2:AO2"/>
    <mergeCell ref="AL3:AM3"/>
    <mergeCell ref="AN3:AO3"/>
  </mergeCell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showGridLines="0" workbookViewId="0"/>
  </sheetViews>
  <sheetFormatPr customHeight="1" defaultColWidth="14.43" defaultRowHeight="15.0" outlineLevelCol="1"/>
  <cols>
    <col customWidth="1" min="1" max="1" width="6.0"/>
    <col customWidth="1" min="2" max="2" width="24.29"/>
    <col customWidth="1" hidden="1" min="3" max="14" width="11.43" outlineLevel="1"/>
    <col customWidth="1" min="15" max="16" width="11.43"/>
    <col customWidth="1" min="17" max="17" width="24.14"/>
    <col customWidth="1" hidden="1" min="18" max="29" width="11.43" outlineLevel="1"/>
    <col customWidth="1" min="30" max="31" width="11.43"/>
    <col customWidth="1" min="32" max="32" width="24.29"/>
    <col customWidth="1" hidden="1" min="33" max="44" width="11.43" outlineLevel="1"/>
    <col customWidth="1" min="45" max="46" width="11.43"/>
    <col customWidth="1" min="47" max="47" width="23.71"/>
    <col customWidth="1" min="48" max="59" width="11.43" outlineLevel="1"/>
    <col customWidth="1" min="60" max="61" width="11.43"/>
    <col customWidth="1" min="62" max="62" width="8.86"/>
    <col customWidth="1" min="63" max="68" width="11.43"/>
    <col customWidth="1" min="69" max="69" width="28.43"/>
    <col customWidth="1" min="70" max="73" width="11.43"/>
  </cols>
  <sheetData>
    <row r="1">
      <c r="B1" s="2" t="s">
        <v>55</v>
      </c>
      <c r="Q1" s="2" t="s">
        <v>56</v>
      </c>
      <c r="AF1" s="2" t="s">
        <v>57</v>
      </c>
      <c r="AU1" s="2" t="s">
        <v>58</v>
      </c>
      <c r="BK1" s="2" t="s">
        <v>59</v>
      </c>
    </row>
    <row r="2">
      <c r="B2" s="2"/>
      <c r="Q2" s="2"/>
      <c r="AF2" s="2"/>
      <c r="AU2" s="2"/>
    </row>
    <row r="3">
      <c r="BK3" s="27" t="s">
        <v>21</v>
      </c>
      <c r="BL3" s="28"/>
      <c r="BM3" s="27" t="s">
        <v>22</v>
      </c>
      <c r="BN3" s="28"/>
      <c r="BO3" s="29" t="s">
        <v>23</v>
      </c>
      <c r="BP3" s="28"/>
      <c r="BQ3" s="30" t="s">
        <v>24</v>
      </c>
      <c r="BR3" s="104" t="s">
        <v>25</v>
      </c>
      <c r="BS3" s="32"/>
      <c r="BT3" s="32"/>
      <c r="BU3" s="33"/>
    </row>
    <row r="4">
      <c r="BK4" s="35"/>
      <c r="BL4" s="36"/>
      <c r="BM4" s="35"/>
      <c r="BN4" s="36"/>
      <c r="BO4" s="37"/>
      <c r="BP4" s="38"/>
      <c r="BQ4" s="39"/>
      <c r="BR4" s="27" t="s">
        <v>60</v>
      </c>
      <c r="BS4" s="28"/>
      <c r="BT4" s="27" t="s">
        <v>27</v>
      </c>
      <c r="BU4" s="28"/>
    </row>
    <row r="5" ht="26.25" customHeight="1">
      <c r="B5" s="100" t="s">
        <v>61</v>
      </c>
      <c r="C5" s="101">
        <v>45292.0</v>
      </c>
      <c r="D5" s="101">
        <v>45323.0</v>
      </c>
      <c r="E5" s="101">
        <v>45352.0</v>
      </c>
      <c r="F5" s="101">
        <v>45383.0</v>
      </c>
      <c r="G5" s="101">
        <v>45413.0</v>
      </c>
      <c r="H5" s="101">
        <v>45444.0</v>
      </c>
      <c r="I5" s="101">
        <v>45474.0</v>
      </c>
      <c r="J5" s="101">
        <v>45505.0</v>
      </c>
      <c r="K5" s="101">
        <v>45536.0</v>
      </c>
      <c r="L5" s="101">
        <v>45566.0</v>
      </c>
      <c r="M5" s="101">
        <v>45597.0</v>
      </c>
      <c r="N5" s="101">
        <v>45627.0</v>
      </c>
      <c r="O5" s="102" t="s">
        <v>19</v>
      </c>
      <c r="Q5" s="100" t="s">
        <v>21</v>
      </c>
      <c r="R5" s="101">
        <v>46023.0</v>
      </c>
      <c r="S5" s="101">
        <v>46054.0</v>
      </c>
      <c r="T5" s="101">
        <v>46082.0</v>
      </c>
      <c r="U5" s="101">
        <v>46113.0</v>
      </c>
      <c r="V5" s="101">
        <v>46143.0</v>
      </c>
      <c r="W5" s="101">
        <v>46174.0</v>
      </c>
      <c r="X5" s="101">
        <v>46204.0</v>
      </c>
      <c r="Y5" s="101">
        <v>46235.0</v>
      </c>
      <c r="Z5" s="101">
        <v>46266.0</v>
      </c>
      <c r="AA5" s="101">
        <v>46296.0</v>
      </c>
      <c r="AB5" s="101">
        <v>46327.0</v>
      </c>
      <c r="AC5" s="101">
        <v>46357.0</v>
      </c>
      <c r="AD5" s="102" t="s">
        <v>19</v>
      </c>
      <c r="AF5" s="100" t="s">
        <v>53</v>
      </c>
      <c r="AG5" s="101">
        <v>46023.0</v>
      </c>
      <c r="AH5" s="101">
        <v>46054.0</v>
      </c>
      <c r="AI5" s="101">
        <v>46082.0</v>
      </c>
      <c r="AJ5" s="101">
        <v>46113.0</v>
      </c>
      <c r="AK5" s="101">
        <v>46143.0</v>
      </c>
      <c r="AL5" s="101">
        <v>46174.0</v>
      </c>
      <c r="AM5" s="101">
        <v>46204.0</v>
      </c>
      <c r="AN5" s="101">
        <v>46235.0</v>
      </c>
      <c r="AO5" s="101">
        <v>46266.0</v>
      </c>
      <c r="AP5" s="101">
        <v>46296.0</v>
      </c>
      <c r="AQ5" s="101">
        <v>46327.0</v>
      </c>
      <c r="AR5" s="101">
        <v>46357.0</v>
      </c>
      <c r="AS5" s="102" t="s">
        <v>19</v>
      </c>
      <c r="AU5" s="41" t="s">
        <v>62</v>
      </c>
      <c r="AV5" s="42">
        <v>46023.0</v>
      </c>
      <c r="AW5" s="42">
        <v>46054.0</v>
      </c>
      <c r="AX5" s="42">
        <v>46082.0</v>
      </c>
      <c r="AY5" s="42">
        <v>46113.0</v>
      </c>
      <c r="AZ5" s="43">
        <v>46143.0</v>
      </c>
      <c r="BA5" s="43">
        <v>46174.0</v>
      </c>
      <c r="BB5" s="43">
        <v>46204.0</v>
      </c>
      <c r="BC5" s="43">
        <v>46235.0</v>
      </c>
      <c r="BD5" s="43">
        <v>46266.0</v>
      </c>
      <c r="BE5" s="43">
        <v>46296.0</v>
      </c>
      <c r="BF5" s="43">
        <v>46327.0</v>
      </c>
      <c r="BG5" s="43">
        <v>46357.0</v>
      </c>
      <c r="BH5" s="44" t="s">
        <v>19</v>
      </c>
      <c r="BK5" s="45" t="s">
        <v>29</v>
      </c>
      <c r="BL5" s="46" t="s">
        <v>4</v>
      </c>
      <c r="BM5" s="45" t="s">
        <v>29</v>
      </c>
      <c r="BN5" s="46" t="s">
        <v>4</v>
      </c>
      <c r="BO5" s="47" t="s">
        <v>29</v>
      </c>
      <c r="BP5" s="48" t="s">
        <v>4</v>
      </c>
      <c r="BQ5" s="49"/>
      <c r="BR5" s="45" t="s">
        <v>29</v>
      </c>
      <c r="BS5" s="46" t="s">
        <v>4</v>
      </c>
      <c r="BT5" s="45" t="s">
        <v>29</v>
      </c>
      <c r="BU5" s="46" t="s">
        <v>4</v>
      </c>
    </row>
    <row r="6">
      <c r="B6" s="50" t="s">
        <v>30</v>
      </c>
      <c r="C6" s="51" t="str">
        <f t="shared" ref="C6:N6" si="1">SUMIF($B$38:$B$86,$B6,C$38:C$86)</f>
        <v>  35.8 </v>
      </c>
      <c r="D6" s="51" t="str">
        <f t="shared" si="1"/>
        <v>  39.6 </v>
      </c>
      <c r="E6" s="51" t="str">
        <f t="shared" si="1"/>
        <v>  48.7 </v>
      </c>
      <c r="F6" s="51" t="str">
        <f t="shared" si="1"/>
        <v>  68.7 </v>
      </c>
      <c r="G6" s="51" t="str">
        <f t="shared" si="1"/>
        <v>  63.1 </v>
      </c>
      <c r="H6" s="51" t="str">
        <f t="shared" si="1"/>
        <v>  73.1 </v>
      </c>
      <c r="I6" s="51" t="str">
        <f t="shared" si="1"/>
        <v>  63.3 </v>
      </c>
      <c r="J6" s="51" t="str">
        <f t="shared" si="1"/>
        <v>  70.9 </v>
      </c>
      <c r="K6" s="51" t="str">
        <f t="shared" si="1"/>
        <v>  61.4 </v>
      </c>
      <c r="L6" s="51" t="str">
        <f t="shared" si="1"/>
        <v>  84.5 </v>
      </c>
      <c r="M6" s="51" t="str">
        <f t="shared" si="1"/>
        <v>  111.7 </v>
      </c>
      <c r="N6" s="51" t="str">
        <f t="shared" si="1"/>
        <v>  89.6 </v>
      </c>
      <c r="O6" s="51" t="str">
        <f t="shared" ref="O6:O7" si="6">+SUM(C6:N6)</f>
        <v>  810.4 </v>
      </c>
      <c r="Q6" s="50" t="s">
        <v>30</v>
      </c>
      <c r="R6" s="51" t="str">
        <f t="shared" ref="R6:AC6" si="2">SUMIF($Q$38:$Q$86,$Q6,R$38:R$86)</f>
        <v>  51.2 </v>
      </c>
      <c r="S6" s="51" t="str">
        <f t="shared" si="2"/>
        <v>  59.5 </v>
      </c>
      <c r="T6" s="51" t="str">
        <f t="shared" si="2"/>
        <v>  58.3 </v>
      </c>
      <c r="U6" s="51" t="str">
        <f t="shared" si="2"/>
        <v>  65.3 </v>
      </c>
      <c r="V6" s="51" t="str">
        <f t="shared" si="2"/>
        <v>  62.5 </v>
      </c>
      <c r="W6" s="51" t="str">
        <f t="shared" si="2"/>
        <v>  66.1 </v>
      </c>
      <c r="X6" s="51" t="str">
        <f t="shared" si="2"/>
        <v>  70.7 </v>
      </c>
      <c r="Y6" s="51" t="str">
        <f t="shared" si="2"/>
        <v>  75.1 </v>
      </c>
      <c r="Z6" s="51" t="str">
        <f t="shared" si="2"/>
        <v>  80.4 </v>
      </c>
      <c r="AA6" s="51" t="str">
        <f t="shared" si="2"/>
        <v>  62.8 </v>
      </c>
      <c r="AB6" s="51" t="str">
        <f t="shared" si="2"/>
        <v>  85.1 </v>
      </c>
      <c r="AC6" s="51" t="str">
        <f t="shared" si="2"/>
        <v>  72.3 </v>
      </c>
      <c r="AD6" s="51" t="str">
        <f t="shared" ref="AD6:AD7" si="8">+SUM(R6:AC6)</f>
        <v>  809.3 </v>
      </c>
      <c r="AF6" s="50" t="s">
        <v>30</v>
      </c>
      <c r="AG6" s="51" t="str">
        <f t="shared" ref="AG6:AR6" si="3">SUMIF($AF$38:$AF$86,$AF6,AG$38:AG$86)</f>
        <v>  28.5 </v>
      </c>
      <c r="AH6" s="51" t="str">
        <f t="shared" si="3"/>
        <v>  27.7 </v>
      </c>
      <c r="AI6" s="51" t="str">
        <f t="shared" si="3"/>
        <v>  25.7 </v>
      </c>
      <c r="AJ6" s="51" t="str">
        <f t="shared" si="3"/>
        <v>  31.8 </v>
      </c>
      <c r="AK6" s="51" t="str">
        <f t="shared" si="3"/>
        <v>  42.3 </v>
      </c>
      <c r="AL6" s="51" t="str">
        <f t="shared" si="3"/>
        <v>  38.3 </v>
      </c>
      <c r="AM6" s="51" t="str">
        <f t="shared" si="3"/>
        <v>  32.9 </v>
      </c>
      <c r="AN6" s="51" t="str">
        <f t="shared" si="3"/>
        <v>  46.4 </v>
      </c>
      <c r="AO6" s="51" t="str">
        <f t="shared" si="3"/>
        <v>  46.7 </v>
      </c>
      <c r="AP6" s="51" t="str">
        <f t="shared" si="3"/>
        <v>  44.5 </v>
      </c>
      <c r="AQ6" s="51" t="str">
        <f t="shared" si="3"/>
        <v>  46.3 </v>
      </c>
      <c r="AR6" s="51" t="str">
        <f t="shared" si="3"/>
        <v>  78.0 </v>
      </c>
      <c r="AS6" s="51" t="str">
        <f t="shared" ref="AS6:AS7" si="10">+SUM(AG6:AR6)</f>
        <v>  489.0 </v>
      </c>
      <c r="AU6" s="50" t="s">
        <v>30</v>
      </c>
      <c r="AV6" s="51" t="str">
        <f t="shared" ref="AV6:BG6" si="4">SUMIF($AU$38:$AU$86,$AU6,AV$38:AV$86)</f>
        <v>#REF!</v>
      </c>
      <c r="AW6" s="51" t="str">
        <f t="shared" si="4"/>
        <v>#REF!</v>
      </c>
      <c r="AX6" s="51" t="str">
        <f t="shared" si="4"/>
        <v>#REF!</v>
      </c>
      <c r="AY6" s="51" t="str">
        <f t="shared" si="4"/>
        <v>#REF!</v>
      </c>
      <c r="AZ6" s="51" t="str">
        <f t="shared" si="4"/>
        <v>  40.8 </v>
      </c>
      <c r="BA6" s="51" t="str">
        <f t="shared" si="4"/>
        <v>  33.5 </v>
      </c>
      <c r="BB6" s="51" t="str">
        <f t="shared" si="4"/>
        <v>  30.3 </v>
      </c>
      <c r="BC6" s="51" t="str">
        <f t="shared" si="4"/>
        <v>  44.0 </v>
      </c>
      <c r="BD6" s="51" t="str">
        <f t="shared" si="4"/>
        <v>  48.9 </v>
      </c>
      <c r="BE6" s="51" t="str">
        <f t="shared" si="4"/>
        <v>  44.3 </v>
      </c>
      <c r="BF6" s="51" t="str">
        <f t="shared" si="4"/>
        <v>  79.3 </v>
      </c>
      <c r="BG6" s="51" t="str">
        <f t="shared" si="4"/>
        <v>  70.5 </v>
      </c>
      <c r="BH6" s="51" t="str">
        <f t="shared" ref="BH6:BH7" si="12">+SUM(AV6:BG6)</f>
        <v>#REF!</v>
      </c>
      <c r="BK6" s="53" t="str">
        <f t="shared" ref="BK6:BK7" si="13">VLOOKUP(BQ6,$Q$5:$AD$29,14,0)</f>
        <v>  809.3 </v>
      </c>
      <c r="BL6" s="54" t="str">
        <f t="shared" ref="BL6:BL29" si="14">IF((+IFERROR((BK6/$BK$8),0))&lt;=-200%,"-200%",(+IFERROR((BK6/$BK$8),0)))</f>
        <v>98%</v>
      </c>
      <c r="BM6" s="53" t="str">
        <f t="shared" ref="BM6:BM7" si="15">VLOOKUP(BQ6,$AF$5:$AS$29,14,0)</f>
        <v>  489.0 </v>
      </c>
      <c r="BN6" s="54" t="str">
        <f t="shared" ref="BN6:BN29" si="16">IF((+IFERROR((BM6/$BM$8),0))&lt;=-200%,"-200%",(+IFERROR((BM6/$BM$8),0)))</f>
        <v>87%</v>
      </c>
      <c r="BO6" s="55" t="str">
        <f t="shared" ref="BO6:BO7" si="17">VLOOKUP(BQ6,$AU$5:$BH$29,14,0)</f>
        <v>#REF!</v>
      </c>
      <c r="BP6" s="56" t="str">
        <f t="shared" ref="BP6:BP29" si="18">IF((+IFERROR((BO6/$BO$8),0))&lt;=-200%,"-200%",(+IFERROR((BO6/$BO$8),0)))</f>
        <v>0%</v>
      </c>
      <c r="BQ6" s="57" t="s">
        <v>30</v>
      </c>
      <c r="BR6" s="58" t="str">
        <f t="shared" ref="BR6:BR29" si="19">+BO6-BM6</f>
        <v>#REF!</v>
      </c>
      <c r="BS6" s="54" t="str">
        <f t="shared" ref="BS6:BS29" si="20">IF((IFERROR(IF(ABS(BR6/BM6)&gt;=9.99,IF(BR6&gt;0,9.99,-9.99),BR6/ABS(BM6)),IF(BR6=0,0,BR6/ABS(BR6))))&lt;=-200%,"-200%",(IFERROR(IF(ABS(BR6/BM6)&gt;=9.99,IF(BR6&gt;0,9.99,-9.99),BR6/ABS(BM6)),IF(BR6=0,0,BR6/ABS(BR6)))))</f>
        <v>#REF!</v>
      </c>
      <c r="BT6" s="58" t="str">
        <f t="shared" ref="BT6:BT29" si="21">+BO6-BK6</f>
        <v>#REF!</v>
      </c>
      <c r="BU6" s="54" t="str">
        <f t="shared" ref="BU6:BU29" si="22">IF((IFERROR(IF(ABS(BT6/BK6)&gt;=9.99,IF(BT6&gt;0,9.99,-9.99),BT6/ABS(BK6)),IF(BT6=0,0,BT6/ABS(BT6))))&lt;=-200%,"-200%",(IFERROR(IF(ABS(BT6/BK6)&gt;=9.99,IF(BT6&gt;0,9.99,-9.99),BT6/ABS(BK6)),IF(BT6=0,0,BT6/ABS(BT6)))))</f>
        <v>#REF!</v>
      </c>
    </row>
    <row r="7">
      <c r="B7" s="50" t="s">
        <v>31</v>
      </c>
      <c r="C7" s="51" t="str">
        <f t="shared" ref="C7:N7" si="5">SUMIF($B$38:$B$86,$B7,C$38:C$86)</f>
        <v>  3.4 </v>
      </c>
      <c r="D7" s="51" t="str">
        <f t="shared" si="5"/>
        <v>  3.7 </v>
      </c>
      <c r="E7" s="51" t="str">
        <f t="shared" si="5"/>
        <v>  2.3 </v>
      </c>
      <c r="F7" s="51" t="str">
        <f t="shared" si="5"/>
        <v>  0.5 </v>
      </c>
      <c r="G7" s="51" t="str">
        <f t="shared" si="5"/>
        <v>  1.3 </v>
      </c>
      <c r="H7" s="51" t="str">
        <f t="shared" si="5"/>
        <v>  1.1 </v>
      </c>
      <c r="I7" s="51" t="str">
        <f t="shared" si="5"/>
        <v>  0.2 </v>
      </c>
      <c r="J7" s="51" t="str">
        <f t="shared" si="5"/>
        <v>  0.7 </v>
      </c>
      <c r="K7" s="51" t="str">
        <f t="shared" si="5"/>
        <v>  1.0 </v>
      </c>
      <c r="L7" s="51" t="str">
        <f t="shared" si="5"/>
        <v>  1.2 </v>
      </c>
      <c r="M7" s="51" t="str">
        <f t="shared" si="5"/>
        <v>  1.8 </v>
      </c>
      <c r="N7" s="51" t="str">
        <f t="shared" si="5"/>
        <v>  0.1 </v>
      </c>
      <c r="O7" s="51" t="str">
        <f t="shared" si="6"/>
        <v>  17.2 </v>
      </c>
      <c r="Q7" s="50" t="s">
        <v>31</v>
      </c>
      <c r="R7" s="51" t="str">
        <f t="shared" ref="R7:AC7" si="7">SUMIF($Q$38:$Q$86,$Q7,R$38:R$86)</f>
        <v>  0.4 </v>
      </c>
      <c r="S7" s="51" t="str">
        <f t="shared" si="7"/>
        <v>  0.3 </v>
      </c>
      <c r="T7" s="51" t="str">
        <f t="shared" si="7"/>
        <v>  3.2 </v>
      </c>
      <c r="U7" s="51" t="str">
        <f t="shared" si="7"/>
        <v>  2.5 </v>
      </c>
      <c r="V7" s="51" t="str">
        <f t="shared" si="7"/>
        <v>  2.5 </v>
      </c>
      <c r="W7" s="51" t="str">
        <f t="shared" si="7"/>
        <v>  1.6 </v>
      </c>
      <c r="X7" s="51" t="str">
        <f t="shared" si="7"/>
        <v>  1.6 </v>
      </c>
      <c r="Y7" s="51" t="str">
        <f t="shared" si="7"/>
        <v>  1.2 </v>
      </c>
      <c r="Z7" s="51" t="str">
        <f t="shared" si="7"/>
        <v>  0.7 </v>
      </c>
      <c r="AA7" s="51" t="str">
        <f t="shared" si="7"/>
        <v>  0.6 </v>
      </c>
      <c r="AB7" s="51" t="str">
        <f t="shared" si="7"/>
        <v>  1.5 </v>
      </c>
      <c r="AC7" s="51" t="str">
        <f t="shared" si="7"/>
        <v>  2.2 </v>
      </c>
      <c r="AD7" s="51" t="str">
        <f t="shared" si="8"/>
        <v>  18.3 </v>
      </c>
      <c r="AF7" s="50" t="s">
        <v>31</v>
      </c>
      <c r="AG7" s="51" t="str">
        <f t="shared" ref="AG7:AR7" si="9">SUMIF($AF$38:$AF$86,$AF7,AG$38:AG$86)</f>
        <v>  1.0 </v>
      </c>
      <c r="AH7" s="51" t="str">
        <f t="shared" si="9"/>
        <v>  1.6 </v>
      </c>
      <c r="AI7" s="51" t="str">
        <f t="shared" si="9"/>
        <v>  2.3 </v>
      </c>
      <c r="AJ7" s="51" t="str">
        <f t="shared" si="9"/>
        <v>  2.7 </v>
      </c>
      <c r="AK7" s="51" t="str">
        <f t="shared" si="9"/>
        <v>  3.4 </v>
      </c>
      <c r="AL7" s="51" t="str">
        <f t="shared" si="9"/>
        <v>  3.5 </v>
      </c>
      <c r="AM7" s="51" t="str">
        <f t="shared" si="9"/>
        <v>  3.9 </v>
      </c>
      <c r="AN7" s="51" t="str">
        <f t="shared" si="9"/>
        <v>  5.1 </v>
      </c>
      <c r="AO7" s="51" t="str">
        <f t="shared" si="9"/>
        <v>  7.7 </v>
      </c>
      <c r="AP7" s="51" t="str">
        <f t="shared" si="9"/>
        <v>  11.6 </v>
      </c>
      <c r="AQ7" s="51" t="str">
        <f t="shared" si="9"/>
        <v>  14.5 </v>
      </c>
      <c r="AR7" s="51" t="str">
        <f t="shared" si="9"/>
        <v>  14.3 </v>
      </c>
      <c r="AS7" s="51" t="str">
        <f t="shared" si="10"/>
        <v>  71.7 </v>
      </c>
      <c r="AU7" s="50" t="s">
        <v>31</v>
      </c>
      <c r="AV7" s="51" t="str">
        <f t="shared" ref="AV7:BG7" si="11">SUMIF($AU$38:$AU$86,$AU7,AV$38:AV$86)</f>
        <v>#REF!</v>
      </c>
      <c r="AW7" s="51" t="str">
        <f t="shared" si="11"/>
        <v>#REF!</v>
      </c>
      <c r="AX7" s="51" t="str">
        <f t="shared" si="11"/>
        <v>#REF!</v>
      </c>
      <c r="AY7" s="51" t="str">
        <f t="shared" si="11"/>
        <v>#REF!</v>
      </c>
      <c r="AZ7" s="51" t="str">
        <f t="shared" si="11"/>
        <v>  4.6 </v>
      </c>
      <c r="BA7" s="51" t="str">
        <f t="shared" si="11"/>
        <v>  7.8 </v>
      </c>
      <c r="BB7" s="51" t="str">
        <f t="shared" si="11"/>
        <v>  4.1 </v>
      </c>
      <c r="BC7" s="51" t="str">
        <f t="shared" si="11"/>
        <v>  0.1 </v>
      </c>
      <c r="BD7" s="51" t="str">
        <f t="shared" si="11"/>
        <v>  0.1 </v>
      </c>
      <c r="BE7" s="51" t="str">
        <f t="shared" si="11"/>
        <v>  4.6 </v>
      </c>
      <c r="BF7" s="51" t="str">
        <f t="shared" si="11"/>
        <v>  1.3 </v>
      </c>
      <c r="BG7" s="51" t="str">
        <f t="shared" si="11"/>
        <v>  1.1 </v>
      </c>
      <c r="BH7" s="51" t="str">
        <f t="shared" si="12"/>
        <v>#REF!</v>
      </c>
      <c r="BK7" s="53" t="str">
        <f t="shared" si="13"/>
        <v>  18.3 </v>
      </c>
      <c r="BL7" s="54" t="str">
        <f t="shared" si="14"/>
        <v>2%</v>
      </c>
      <c r="BM7" s="53" t="str">
        <f t="shared" si="15"/>
        <v>  71.7 </v>
      </c>
      <c r="BN7" s="54" t="str">
        <f t="shared" si="16"/>
        <v>13%</v>
      </c>
      <c r="BO7" s="55" t="str">
        <f t="shared" si="17"/>
        <v>#REF!</v>
      </c>
      <c r="BP7" s="56" t="str">
        <f t="shared" si="18"/>
        <v>0%</v>
      </c>
      <c r="BQ7" s="57" t="s">
        <v>31</v>
      </c>
      <c r="BR7" s="58" t="str">
        <f t="shared" si="19"/>
        <v>#REF!</v>
      </c>
      <c r="BS7" s="54" t="str">
        <f t="shared" si="20"/>
        <v>#REF!</v>
      </c>
      <c r="BT7" s="58" t="str">
        <f t="shared" si="21"/>
        <v>#REF!</v>
      </c>
      <c r="BU7" s="54" t="str">
        <f t="shared" si="22"/>
        <v>#REF!</v>
      </c>
    </row>
    <row r="8">
      <c r="B8" s="59" t="s">
        <v>32</v>
      </c>
      <c r="C8" s="60" t="str">
        <f t="shared" ref="C8:D8" si="23">C6+C7</f>
        <v>  39.2 </v>
      </c>
      <c r="D8" s="60" t="str">
        <f t="shared" si="23"/>
        <v>  43.3 </v>
      </c>
      <c r="E8" s="60" t="str">
        <f t="shared" ref="E8:O8" si="24">E7+E6</f>
        <v>  51.0 </v>
      </c>
      <c r="F8" s="60" t="str">
        <f t="shared" si="24"/>
        <v>  69.2 </v>
      </c>
      <c r="G8" s="60" t="str">
        <f t="shared" si="24"/>
        <v>  64.4 </v>
      </c>
      <c r="H8" s="60" t="str">
        <f t="shared" si="24"/>
        <v>  74.2 </v>
      </c>
      <c r="I8" s="60" t="str">
        <f t="shared" si="24"/>
        <v>  63.5 </v>
      </c>
      <c r="J8" s="60" t="str">
        <f t="shared" si="24"/>
        <v>  71.5 </v>
      </c>
      <c r="K8" s="60" t="str">
        <f t="shared" si="24"/>
        <v>  62.4 </v>
      </c>
      <c r="L8" s="60" t="str">
        <f t="shared" si="24"/>
        <v>  85.7 </v>
      </c>
      <c r="M8" s="60" t="str">
        <f t="shared" si="24"/>
        <v>  113.5 </v>
      </c>
      <c r="N8" s="60" t="str">
        <f t="shared" si="24"/>
        <v>  89.8 </v>
      </c>
      <c r="O8" s="60" t="str">
        <f t="shared" si="24"/>
        <v>  827.6 </v>
      </c>
      <c r="Q8" s="59" t="s">
        <v>32</v>
      </c>
      <c r="R8" s="60" t="str">
        <f t="shared" ref="R8:S8" si="25">R6+R7</f>
        <v>  51.6 </v>
      </c>
      <c r="S8" s="60" t="str">
        <f t="shared" si="25"/>
        <v>  59.8 </v>
      </c>
      <c r="T8" s="60" t="str">
        <f t="shared" ref="T8:AD8" si="26">T7+T6</f>
        <v>  61.5 </v>
      </c>
      <c r="U8" s="60" t="str">
        <f t="shared" si="26"/>
        <v>  67.8 </v>
      </c>
      <c r="V8" s="60" t="str">
        <f t="shared" si="26"/>
        <v>  65.0 </v>
      </c>
      <c r="W8" s="60" t="str">
        <f t="shared" si="26"/>
        <v>  67.7 </v>
      </c>
      <c r="X8" s="60" t="str">
        <f t="shared" si="26"/>
        <v>  72.4 </v>
      </c>
      <c r="Y8" s="60" t="str">
        <f t="shared" si="26"/>
        <v>  76.2 </v>
      </c>
      <c r="Z8" s="60" t="str">
        <f t="shared" si="26"/>
        <v>  81.1 </v>
      </c>
      <c r="AA8" s="60" t="str">
        <f t="shared" si="26"/>
        <v>  63.3 </v>
      </c>
      <c r="AB8" s="60" t="str">
        <f t="shared" si="26"/>
        <v>  86.6 </v>
      </c>
      <c r="AC8" s="60" t="str">
        <f t="shared" si="26"/>
        <v>  74.6 </v>
      </c>
      <c r="AD8" s="60" t="str">
        <f t="shared" si="26"/>
        <v>  827.6 </v>
      </c>
      <c r="AF8" s="59" t="s">
        <v>32</v>
      </c>
      <c r="AG8" s="60" t="str">
        <f t="shared" ref="AG8:AH8" si="27">AG6+AG7</f>
        <v>  29.5 </v>
      </c>
      <c r="AH8" s="60" t="str">
        <f t="shared" si="27"/>
        <v>  29.3 </v>
      </c>
      <c r="AI8" s="60" t="str">
        <f t="shared" ref="AI8:AS8" si="28">AI7+AI6</f>
        <v>  28.1 </v>
      </c>
      <c r="AJ8" s="60" t="str">
        <f t="shared" si="28"/>
        <v>  34.5 </v>
      </c>
      <c r="AK8" s="60" t="str">
        <f t="shared" si="28"/>
        <v>  45.7 </v>
      </c>
      <c r="AL8" s="60" t="str">
        <f t="shared" si="28"/>
        <v>  41.8 </v>
      </c>
      <c r="AM8" s="60" t="str">
        <f t="shared" si="28"/>
        <v>  36.8 </v>
      </c>
      <c r="AN8" s="60" t="str">
        <f t="shared" si="28"/>
        <v>  51.5 </v>
      </c>
      <c r="AO8" s="60" t="str">
        <f t="shared" si="28"/>
        <v>  54.4 </v>
      </c>
      <c r="AP8" s="60" t="str">
        <f t="shared" si="28"/>
        <v>  56.1 </v>
      </c>
      <c r="AQ8" s="60" t="str">
        <f t="shared" si="28"/>
        <v>  60.8 </v>
      </c>
      <c r="AR8" s="60" t="str">
        <f t="shared" si="28"/>
        <v>  92.3 </v>
      </c>
      <c r="AS8" s="60" t="str">
        <f t="shared" si="28"/>
        <v>  560.7 </v>
      </c>
      <c r="AU8" s="59" t="s">
        <v>32</v>
      </c>
      <c r="AV8" s="60" t="str">
        <f t="shared" ref="AV8:AW8" si="29">AV6+AV7</f>
        <v>#REF!</v>
      </c>
      <c r="AW8" s="60" t="str">
        <f t="shared" si="29"/>
        <v>#REF!</v>
      </c>
      <c r="AX8" s="60" t="str">
        <f t="shared" ref="AX8:BH8" si="30">AX7+AX6</f>
        <v>#REF!</v>
      </c>
      <c r="AY8" s="60" t="str">
        <f t="shared" si="30"/>
        <v>#REF!</v>
      </c>
      <c r="AZ8" s="60" t="str">
        <f t="shared" si="30"/>
        <v>  45.4 </v>
      </c>
      <c r="BA8" s="60" t="str">
        <f t="shared" si="30"/>
        <v>  41.2 </v>
      </c>
      <c r="BB8" s="60" t="str">
        <f t="shared" si="30"/>
        <v>  34.4 </v>
      </c>
      <c r="BC8" s="60" t="str">
        <f t="shared" si="30"/>
        <v>  44.2 </v>
      </c>
      <c r="BD8" s="60" t="str">
        <f t="shared" si="30"/>
        <v>  49.1 </v>
      </c>
      <c r="BE8" s="60" t="str">
        <f t="shared" si="30"/>
        <v>  48.9 </v>
      </c>
      <c r="BF8" s="60" t="str">
        <f t="shared" si="30"/>
        <v>  80.6 </v>
      </c>
      <c r="BG8" s="60" t="str">
        <f t="shared" si="30"/>
        <v>  71.6 </v>
      </c>
      <c r="BH8" s="60" t="str">
        <f t="shared" si="30"/>
        <v>#REF!</v>
      </c>
      <c r="BK8" s="61" t="str">
        <f>SUM(BK6:BK7)</f>
        <v>  827.6 </v>
      </c>
      <c r="BL8" s="62" t="str">
        <f t="shared" si="14"/>
        <v>100%</v>
      </c>
      <c r="BM8" s="61" t="str">
        <f>SUM(BM6:BM7)</f>
        <v>  560.7 </v>
      </c>
      <c r="BN8" s="62" t="str">
        <f t="shared" si="16"/>
        <v>100%</v>
      </c>
      <c r="BO8" s="63" t="str">
        <f>SUM(BO6:BO7)</f>
        <v>#REF!</v>
      </c>
      <c r="BP8" s="64" t="str">
        <f t="shared" si="18"/>
        <v>0%</v>
      </c>
      <c r="BQ8" s="65" t="s">
        <v>32</v>
      </c>
      <c r="BR8" s="66" t="str">
        <f t="shared" si="19"/>
        <v>#REF!</v>
      </c>
      <c r="BS8" s="62" t="str">
        <f t="shared" si="20"/>
        <v>#REF!</v>
      </c>
      <c r="BT8" s="66" t="str">
        <f t="shared" si="21"/>
        <v>#REF!</v>
      </c>
      <c r="BU8" s="62" t="str">
        <f t="shared" si="22"/>
        <v>#REF!</v>
      </c>
    </row>
    <row r="9">
      <c r="B9" s="68" t="s">
        <v>63</v>
      </c>
      <c r="C9" s="51" t="str">
        <f t="shared" ref="C9:N9" si="31">SUMIF($B$38:$B$86,$B9,C$38:C$86)</f>
        <v>  (18.1)</v>
      </c>
      <c r="D9" s="51" t="str">
        <f t="shared" si="31"/>
        <v>  (15.0)</v>
      </c>
      <c r="E9" s="51" t="str">
        <f t="shared" si="31"/>
        <v>  (16.9)</v>
      </c>
      <c r="F9" s="51" t="str">
        <f t="shared" si="31"/>
        <v>  (22.9)</v>
      </c>
      <c r="G9" s="51" t="str">
        <f t="shared" si="31"/>
        <v>  (22.5)</v>
      </c>
      <c r="H9" s="51" t="str">
        <f t="shared" si="31"/>
        <v>  (22.0)</v>
      </c>
      <c r="I9" s="51" t="str">
        <f t="shared" si="31"/>
        <v>  (27.1)</v>
      </c>
      <c r="J9" s="51" t="str">
        <f t="shared" si="31"/>
        <v>  (24.1)</v>
      </c>
      <c r="K9" s="51" t="str">
        <f t="shared" si="31"/>
        <v>  (22.6)</v>
      </c>
      <c r="L9" s="51" t="str">
        <f t="shared" si="31"/>
        <v>  (29.1)</v>
      </c>
      <c r="M9" s="51" t="str">
        <f t="shared" si="31"/>
        <v>  (33.9)</v>
      </c>
      <c r="N9" s="51" t="str">
        <f t="shared" si="31"/>
        <v>  (32.2)</v>
      </c>
      <c r="O9" s="51" t="str">
        <f t="shared" ref="O9:O14" si="36">+SUM(C9:N9)</f>
        <v>  (286.3)</v>
      </c>
      <c r="Q9" s="68" t="s">
        <v>63</v>
      </c>
      <c r="R9" s="51" t="str">
        <f t="shared" ref="R9:AC9" si="32">SUMIF($Q$38:$Q$86,$Q9,R$38:R$86)</f>
        <v>  (23.4)</v>
      </c>
      <c r="S9" s="51" t="str">
        <f t="shared" si="32"/>
        <v>  (21.4)</v>
      </c>
      <c r="T9" s="51" t="str">
        <f t="shared" si="32"/>
        <v>  (22.3)</v>
      </c>
      <c r="U9" s="51" t="str">
        <f t="shared" si="32"/>
        <v>  (26.8)</v>
      </c>
      <c r="V9" s="51" t="str">
        <f t="shared" si="32"/>
        <v>  (26.6)</v>
      </c>
      <c r="W9" s="51" t="str">
        <f t="shared" si="32"/>
        <v>  (26.1)</v>
      </c>
      <c r="X9" s="51" t="str">
        <f t="shared" si="32"/>
        <v>  (34.3)</v>
      </c>
      <c r="Y9" s="51" t="str">
        <f t="shared" si="32"/>
        <v>  (28.3)</v>
      </c>
      <c r="Z9" s="51" t="str">
        <f t="shared" si="32"/>
        <v>  (29.9)</v>
      </c>
      <c r="AA9" s="51" t="str">
        <f t="shared" si="32"/>
        <v>  (10.7)</v>
      </c>
      <c r="AB9" s="51" t="str">
        <f t="shared" si="32"/>
        <v>  (1.2)</v>
      </c>
      <c r="AC9" s="51" t="str">
        <f t="shared" si="32"/>
        <v>  (0.9)</v>
      </c>
      <c r="AD9" s="51" t="str">
        <f t="shared" ref="AD9:AD14" si="38">+SUM(R9:AC9)</f>
        <v>  (251.9)</v>
      </c>
      <c r="AF9" s="68" t="s">
        <v>63</v>
      </c>
      <c r="AG9" s="51" t="str">
        <f t="shared" ref="AG9:AR9" si="33">SUMIF($AF$38:$AF$86,$AF9,AG$38:AG$86)</f>
        <v>  (0.8)</v>
      </c>
      <c r="AH9" s="51" t="str">
        <f t="shared" si="33"/>
        <v>  (1.3)</v>
      </c>
      <c r="AI9" s="51" t="str">
        <f t="shared" si="33"/>
        <v>  (1.3)</v>
      </c>
      <c r="AJ9" s="51" t="str">
        <f t="shared" si="33"/>
        <v>  (1.4)</v>
      </c>
      <c r="AK9" s="51" t="str">
        <f t="shared" si="33"/>
        <v>  (1.4)</v>
      </c>
      <c r="AL9" s="51" t="str">
        <f t="shared" si="33"/>
        <v>  (1.4)</v>
      </c>
      <c r="AM9" s="51" t="str">
        <f t="shared" si="33"/>
        <v>  (1.4)</v>
      </c>
      <c r="AN9" s="51" t="str">
        <f t="shared" si="33"/>
        <v>  (1.4)</v>
      </c>
      <c r="AO9" s="51" t="str">
        <f t="shared" si="33"/>
        <v>  (1.7)</v>
      </c>
      <c r="AP9" s="51" t="str">
        <f t="shared" si="33"/>
        <v>  (1.4)</v>
      </c>
      <c r="AQ9" s="51" t="str">
        <f t="shared" si="33"/>
        <v>  (1.6)</v>
      </c>
      <c r="AR9" s="51" t="str">
        <f t="shared" si="33"/>
        <v>  (1.6)</v>
      </c>
      <c r="AS9" s="51" t="str">
        <f t="shared" ref="AS9:AS14" si="40">+SUM(AG9:AR9)</f>
        <v>  (16.6)</v>
      </c>
      <c r="AU9" s="68" t="s">
        <v>63</v>
      </c>
      <c r="AV9" s="51" t="str">
        <f t="shared" ref="AV9:BG9" si="34">SUMIF($AU$38:$AU$86,$AU9,AV$38:AV$86)</f>
        <v>#REF!</v>
      </c>
      <c r="AW9" s="51" t="str">
        <f t="shared" si="34"/>
        <v>#REF!</v>
      </c>
      <c r="AX9" s="51" t="str">
        <f t="shared" si="34"/>
        <v>#REF!</v>
      </c>
      <c r="AY9" s="51" t="str">
        <f t="shared" si="34"/>
        <v>#REF!</v>
      </c>
      <c r="AZ9" s="51" t="str">
        <f t="shared" si="34"/>
        <v>  (1.0)</v>
      </c>
      <c r="BA9" s="51" t="str">
        <f t="shared" si="34"/>
        <v>  (1.0)</v>
      </c>
      <c r="BB9" s="51" t="str">
        <f t="shared" si="34"/>
        <v>  (1.0)</v>
      </c>
      <c r="BC9" s="51" t="str">
        <f t="shared" si="34"/>
        <v>  (1.0)</v>
      </c>
      <c r="BD9" s="51" t="str">
        <f t="shared" si="34"/>
        <v>  (1.0)</v>
      </c>
      <c r="BE9" s="51" t="str">
        <f t="shared" si="34"/>
        <v>  (1.0)</v>
      </c>
      <c r="BF9" s="51" t="str">
        <f t="shared" si="34"/>
        <v>  (1.0)</v>
      </c>
      <c r="BG9" s="51" t="str">
        <f t="shared" si="34"/>
        <v>  (1.0)</v>
      </c>
      <c r="BH9" s="51" t="str">
        <f t="shared" ref="BH9:BH14" si="42">+SUM(AV9:BG9)</f>
        <v>#REF!</v>
      </c>
      <c r="BK9" s="53" t="str">
        <f t="shared" ref="BK9:BK14" si="43">VLOOKUP(BQ9,$Q$5:$AD$29,14,0)</f>
        <v>  (251.9)</v>
      </c>
      <c r="BL9" s="54" t="str">
        <f t="shared" si="14"/>
        <v>(30%)</v>
      </c>
      <c r="BM9" s="53" t="str">
        <f t="shared" ref="BM9:BM14" si="44">VLOOKUP(BQ9,$AF$5:$AS$29,14,0)</f>
        <v>  (16.6)</v>
      </c>
      <c r="BN9" s="54" t="str">
        <f t="shared" si="16"/>
        <v>(3%)</v>
      </c>
      <c r="BO9" s="55" t="str">
        <f t="shared" ref="BO9:BO14" si="45">VLOOKUP(BQ9,$AU$5:$BH$29,14,0)</f>
        <v>#REF!</v>
      </c>
      <c r="BP9" s="56" t="str">
        <f t="shared" si="18"/>
        <v>0%</v>
      </c>
      <c r="BQ9" s="57" t="s">
        <v>63</v>
      </c>
      <c r="BR9" s="58" t="str">
        <f t="shared" si="19"/>
        <v>#REF!</v>
      </c>
      <c r="BS9" s="54" t="str">
        <f t="shared" si="20"/>
        <v>#REF!</v>
      </c>
      <c r="BT9" s="58" t="str">
        <f t="shared" si="21"/>
        <v>#REF!</v>
      </c>
      <c r="BU9" s="54" t="str">
        <f t="shared" si="22"/>
        <v>#REF!</v>
      </c>
    </row>
    <row r="10">
      <c r="B10" s="68" t="s">
        <v>64</v>
      </c>
      <c r="C10" s="51" t="str">
        <f t="shared" ref="C10:N10" si="35">SUMIF($B$38:$B$86,$B10,C$38:C$86)</f>
        <v>  -   </v>
      </c>
      <c r="D10" s="51" t="str">
        <f t="shared" si="35"/>
        <v>  -   </v>
      </c>
      <c r="E10" s="51" t="str">
        <f t="shared" si="35"/>
        <v>  -   </v>
      </c>
      <c r="F10" s="51" t="str">
        <f t="shared" si="35"/>
        <v>  -   </v>
      </c>
      <c r="G10" s="51" t="str">
        <f t="shared" si="35"/>
        <v>  -   </v>
      </c>
      <c r="H10" s="51" t="str">
        <f t="shared" si="35"/>
        <v>  -   </v>
      </c>
      <c r="I10" s="51" t="str">
        <f t="shared" si="35"/>
        <v>  -   </v>
      </c>
      <c r="J10" s="51" t="str">
        <f t="shared" si="35"/>
        <v>  -   </v>
      </c>
      <c r="K10" s="51" t="str">
        <f t="shared" si="35"/>
        <v>  -   </v>
      </c>
      <c r="L10" s="51" t="str">
        <f t="shared" si="35"/>
        <v>  -   </v>
      </c>
      <c r="M10" s="51" t="str">
        <f t="shared" si="35"/>
        <v>  -   </v>
      </c>
      <c r="N10" s="51" t="str">
        <f t="shared" si="35"/>
        <v>  -   </v>
      </c>
      <c r="O10" s="51" t="str">
        <f t="shared" si="36"/>
        <v>  -   </v>
      </c>
      <c r="Q10" s="68" t="s">
        <v>64</v>
      </c>
      <c r="R10" s="51" t="str">
        <f t="shared" ref="R10:AC10" si="37">SUMIF($Q$38:$Q$86,$Q10,R$38:R$86)</f>
        <v>  (0.2)</v>
      </c>
      <c r="S10" s="51" t="str">
        <f t="shared" si="37"/>
        <v>  (0.2)</v>
      </c>
      <c r="T10" s="51" t="str">
        <f t="shared" si="37"/>
        <v>  (0.2)</v>
      </c>
      <c r="U10" s="51" t="str">
        <f t="shared" si="37"/>
        <v>  (0.2)</v>
      </c>
      <c r="V10" s="51" t="str">
        <f t="shared" si="37"/>
        <v>  (0.2)</v>
      </c>
      <c r="W10" s="51" t="str">
        <f t="shared" si="37"/>
        <v>  (0.2)</v>
      </c>
      <c r="X10" s="51" t="str">
        <f t="shared" si="37"/>
        <v>  (0.1)</v>
      </c>
      <c r="Y10" s="51" t="str">
        <f t="shared" si="37"/>
        <v>  (0.2)</v>
      </c>
      <c r="Z10" s="51" t="str">
        <f t="shared" si="37"/>
        <v>  (0.1)</v>
      </c>
      <c r="AA10" s="51" t="str">
        <f t="shared" si="37"/>
        <v>  (0.0)</v>
      </c>
      <c r="AB10" s="51" t="str">
        <f t="shared" si="37"/>
        <v>  (0.0)</v>
      </c>
      <c r="AC10" s="51" t="str">
        <f t="shared" si="37"/>
        <v>  -   </v>
      </c>
      <c r="AD10" s="51" t="str">
        <f t="shared" si="38"/>
        <v>  (1.5)</v>
      </c>
      <c r="AF10" s="68" t="s">
        <v>64</v>
      </c>
      <c r="AG10" s="51" t="str">
        <f t="shared" ref="AG10:AR10" si="39">SUMIF($AF$38:$AF$86,$AF10,AG$38:AG$86)</f>
        <v>  (0.1)</v>
      </c>
      <c r="AH10" s="51" t="str">
        <f t="shared" si="39"/>
        <v>  (0.1)</v>
      </c>
      <c r="AI10" s="51" t="str">
        <f t="shared" si="39"/>
        <v>  (0.1)</v>
      </c>
      <c r="AJ10" s="51" t="str">
        <f t="shared" si="39"/>
        <v>  (0.1)</v>
      </c>
      <c r="AK10" s="51" t="str">
        <f t="shared" si="39"/>
        <v>  (0.1)</v>
      </c>
      <c r="AL10" s="51" t="str">
        <f t="shared" si="39"/>
        <v>  (0.1)</v>
      </c>
      <c r="AM10" s="51" t="str">
        <f t="shared" si="39"/>
        <v>  (0.1)</v>
      </c>
      <c r="AN10" s="51" t="str">
        <f t="shared" si="39"/>
        <v>  (0.1)</v>
      </c>
      <c r="AO10" s="51" t="str">
        <f t="shared" si="39"/>
        <v>  (0.1)</v>
      </c>
      <c r="AP10" s="51" t="str">
        <f t="shared" si="39"/>
        <v>  (0.1)</v>
      </c>
      <c r="AQ10" s="51" t="str">
        <f t="shared" si="39"/>
        <v>  (0.1)</v>
      </c>
      <c r="AR10" s="51" t="str">
        <f t="shared" si="39"/>
        <v>  (0.1)</v>
      </c>
      <c r="AS10" s="51" t="str">
        <f t="shared" si="40"/>
        <v>  (1.2)</v>
      </c>
      <c r="AU10" s="68" t="s">
        <v>64</v>
      </c>
      <c r="AV10" s="51" t="str">
        <f t="shared" ref="AV10:BG10" si="41">SUMIF($AU$38:$AU$86,$AU10,AV$38:AV$86)</f>
        <v>#REF!</v>
      </c>
      <c r="AW10" s="51" t="str">
        <f t="shared" si="41"/>
        <v>#REF!</v>
      </c>
      <c r="AX10" s="51" t="str">
        <f t="shared" si="41"/>
        <v>#REF!</v>
      </c>
      <c r="AY10" s="51" t="str">
        <f t="shared" si="41"/>
        <v>#REF!</v>
      </c>
      <c r="AZ10" s="51" t="str">
        <f t="shared" si="41"/>
        <v>  (0.1)</v>
      </c>
      <c r="BA10" s="51" t="str">
        <f t="shared" si="41"/>
        <v>  (0.1)</v>
      </c>
      <c r="BB10" s="51" t="str">
        <f t="shared" si="41"/>
        <v>  (0.1)</v>
      </c>
      <c r="BC10" s="51" t="str">
        <f t="shared" si="41"/>
        <v>  (0.1)</v>
      </c>
      <c r="BD10" s="51" t="str">
        <f t="shared" si="41"/>
        <v>  (0.1)</v>
      </c>
      <c r="BE10" s="51" t="str">
        <f t="shared" si="41"/>
        <v>  (0.1)</v>
      </c>
      <c r="BF10" s="51" t="str">
        <f t="shared" si="41"/>
        <v>  (0.1)</v>
      </c>
      <c r="BG10" s="51" t="str">
        <f t="shared" si="41"/>
        <v>  (0.1)</v>
      </c>
      <c r="BH10" s="51" t="str">
        <f t="shared" si="42"/>
        <v>#REF!</v>
      </c>
      <c r="BK10" s="53" t="str">
        <f t="shared" si="43"/>
        <v>  (1.5)</v>
      </c>
      <c r="BL10" s="54" t="str">
        <f t="shared" si="14"/>
        <v>(0%)</v>
      </c>
      <c r="BM10" s="53" t="str">
        <f t="shared" si="44"/>
        <v>  (1.2)</v>
      </c>
      <c r="BN10" s="54" t="str">
        <f t="shared" si="16"/>
        <v>(0%)</v>
      </c>
      <c r="BO10" s="55" t="str">
        <f t="shared" si="45"/>
        <v>#REF!</v>
      </c>
      <c r="BP10" s="56" t="str">
        <f t="shared" si="18"/>
        <v>0%</v>
      </c>
      <c r="BQ10" s="57" t="s">
        <v>64</v>
      </c>
      <c r="BR10" s="58" t="str">
        <f t="shared" si="19"/>
        <v>#REF!</v>
      </c>
      <c r="BS10" s="54" t="str">
        <f t="shared" si="20"/>
        <v>#REF!</v>
      </c>
      <c r="BT10" s="58" t="str">
        <f t="shared" si="21"/>
        <v>#REF!</v>
      </c>
      <c r="BU10" s="54" t="str">
        <f t="shared" si="22"/>
        <v>#REF!</v>
      </c>
    </row>
    <row r="11">
      <c r="B11" s="68" t="s">
        <v>33</v>
      </c>
      <c r="C11" s="51" t="str">
        <f t="shared" ref="C11:N11" si="46">SUMIF($B$38:$B$86,$B11,C$38:C$86)</f>
        <v>  (10.7)</v>
      </c>
      <c r="D11" s="51" t="str">
        <f t="shared" si="46"/>
        <v>  (17.4)</v>
      </c>
      <c r="E11" s="51" t="str">
        <f t="shared" si="46"/>
        <v>  (18.0)</v>
      </c>
      <c r="F11" s="51" t="str">
        <f t="shared" si="46"/>
        <v>  (37.9)</v>
      </c>
      <c r="G11" s="51" t="str">
        <f t="shared" si="46"/>
        <v>  (19.0)</v>
      </c>
      <c r="H11" s="51" t="str">
        <f t="shared" si="46"/>
        <v>  (38.3)</v>
      </c>
      <c r="I11" s="51" t="str">
        <f t="shared" si="46"/>
        <v>  (17.9)</v>
      </c>
      <c r="J11" s="51" t="str">
        <f t="shared" si="46"/>
        <v>  (27.3)</v>
      </c>
      <c r="K11" s="51" t="str">
        <f t="shared" si="46"/>
        <v>  (21.3)</v>
      </c>
      <c r="L11" s="51" t="str">
        <f t="shared" si="46"/>
        <v>  (34.1)</v>
      </c>
      <c r="M11" s="51" t="str">
        <f t="shared" si="46"/>
        <v>  (53.5)</v>
      </c>
      <c r="N11" s="51" t="str">
        <f t="shared" si="46"/>
        <v>  (28.8)</v>
      </c>
      <c r="O11" s="51" t="str">
        <f t="shared" si="36"/>
        <v>  (324.3)</v>
      </c>
      <c r="Q11" s="68" t="s">
        <v>33</v>
      </c>
      <c r="R11" s="51" t="str">
        <f t="shared" ref="R11:AC11" si="47">SUMIF($Q$38:$Q$86,$Q11,R$38:R$86)</f>
        <v>  (15.6)</v>
      </c>
      <c r="S11" s="51" t="str">
        <f t="shared" si="47"/>
        <v>  (19.3)</v>
      </c>
      <c r="T11" s="51" t="str">
        <f t="shared" si="47"/>
        <v>  (21.0)</v>
      </c>
      <c r="U11" s="51" t="str">
        <f t="shared" si="47"/>
        <v>  (18.5)</v>
      </c>
      <c r="V11" s="51" t="str">
        <f t="shared" si="47"/>
        <v>  (21.5)</v>
      </c>
      <c r="W11" s="51" t="str">
        <f t="shared" si="47"/>
        <v>  (20.1)</v>
      </c>
      <c r="X11" s="51" t="str">
        <f t="shared" si="47"/>
        <v>  (17.4)</v>
      </c>
      <c r="Y11" s="51" t="str">
        <f t="shared" si="47"/>
        <v>  (24.3)</v>
      </c>
      <c r="Z11" s="51" t="str">
        <f t="shared" si="47"/>
        <v>  (27.3)</v>
      </c>
      <c r="AA11" s="51" t="str">
        <f t="shared" si="47"/>
        <v>  (29.6)</v>
      </c>
      <c r="AB11" s="51" t="str">
        <f t="shared" si="47"/>
        <v>  (48.6)</v>
      </c>
      <c r="AC11" s="51" t="str">
        <f t="shared" si="47"/>
        <v>  (72.9)</v>
      </c>
      <c r="AD11" s="51" t="str">
        <f t="shared" si="38"/>
        <v>  (336.1)</v>
      </c>
      <c r="AF11" s="68" t="s">
        <v>33</v>
      </c>
      <c r="AG11" s="51" t="str">
        <f t="shared" ref="AG11:AR11" si="48">SUMIF($AF$38:$AF$86,$AF11,AG$38:AG$86)</f>
        <v>  (15.1)</v>
      </c>
      <c r="AH11" s="51" t="str">
        <f t="shared" si="48"/>
        <v>  (15.3)</v>
      </c>
      <c r="AI11" s="51" t="str">
        <f t="shared" si="48"/>
        <v>  (14.2)</v>
      </c>
      <c r="AJ11" s="51" t="str">
        <f t="shared" si="48"/>
        <v>  (18.3)</v>
      </c>
      <c r="AK11" s="51" t="str">
        <f t="shared" si="48"/>
        <v>  (25.0)</v>
      </c>
      <c r="AL11" s="51" t="str">
        <f t="shared" si="48"/>
        <v>  (21.7)</v>
      </c>
      <c r="AM11" s="51" t="str">
        <f t="shared" si="48"/>
        <v>  (19.0)</v>
      </c>
      <c r="AN11" s="51" t="str">
        <f t="shared" si="48"/>
        <v>  (27.8)</v>
      </c>
      <c r="AO11" s="51" t="str">
        <f t="shared" si="48"/>
        <v>  (29.1)</v>
      </c>
      <c r="AP11" s="51" t="str">
        <f t="shared" si="48"/>
        <v>  (30.4)</v>
      </c>
      <c r="AQ11" s="51" t="str">
        <f t="shared" si="48"/>
        <v>  (33.1)</v>
      </c>
      <c r="AR11" s="51" t="str">
        <f t="shared" si="48"/>
        <v>  (51.9)</v>
      </c>
      <c r="AS11" s="51" t="str">
        <f t="shared" si="40"/>
        <v>  (300.9)</v>
      </c>
      <c r="AU11" s="68" t="s">
        <v>33</v>
      </c>
      <c r="AV11" s="51" t="str">
        <f t="shared" ref="AV11:BG11" si="49">SUMIF($AU$38:$AU$86,$AU11,AV$38:AV$86)</f>
        <v>  (11.4)</v>
      </c>
      <c r="AW11" s="51" t="str">
        <f t="shared" si="49"/>
        <v>  (19.4)</v>
      </c>
      <c r="AX11" s="51" t="str">
        <f t="shared" si="49"/>
        <v>  (15.6)</v>
      </c>
      <c r="AY11" s="51" t="str">
        <f t="shared" si="49"/>
        <v>  (24.5)</v>
      </c>
      <c r="AZ11" s="51" t="str">
        <f t="shared" si="49"/>
        <v>  (26.2)</v>
      </c>
      <c r="BA11" s="51" t="str">
        <f t="shared" si="49"/>
        <v>  (23.2)</v>
      </c>
      <c r="BB11" s="51" t="str">
        <f t="shared" si="49"/>
        <v>  (19.1)</v>
      </c>
      <c r="BC11" s="51" t="str">
        <f t="shared" si="49"/>
        <v>  (25.3)</v>
      </c>
      <c r="BD11" s="51" t="str">
        <f t="shared" si="49"/>
        <v>  (28.3)</v>
      </c>
      <c r="BE11" s="51" t="str">
        <f t="shared" si="49"/>
        <v>  (27.5)</v>
      </c>
      <c r="BF11" s="51" t="str">
        <f t="shared" si="49"/>
        <v>  (47.3)</v>
      </c>
      <c r="BG11" s="51" t="str">
        <f t="shared" si="49"/>
        <v>  (41.7)</v>
      </c>
      <c r="BH11" s="51" t="str">
        <f t="shared" si="42"/>
        <v>  (309.4)</v>
      </c>
      <c r="BK11" s="53" t="str">
        <f t="shared" si="43"/>
        <v>  (336.1)</v>
      </c>
      <c r="BL11" s="54" t="str">
        <f t="shared" si="14"/>
        <v>(41%)</v>
      </c>
      <c r="BM11" s="53" t="str">
        <f t="shared" si="44"/>
        <v>  (300.9)</v>
      </c>
      <c r="BN11" s="54" t="str">
        <f t="shared" si="16"/>
        <v>(54%)</v>
      </c>
      <c r="BO11" s="55" t="str">
        <f t="shared" si="45"/>
        <v>  (309.4)</v>
      </c>
      <c r="BP11" s="56" t="str">
        <f t="shared" si="18"/>
        <v>0%</v>
      </c>
      <c r="BQ11" s="57" t="s">
        <v>33</v>
      </c>
      <c r="BR11" s="58" t="str">
        <f t="shared" si="19"/>
        <v>  (8.5)</v>
      </c>
      <c r="BS11" s="54" t="str">
        <f t="shared" si="20"/>
        <v>(3%)</v>
      </c>
      <c r="BT11" s="58" t="str">
        <f t="shared" si="21"/>
        <v>  26.6 </v>
      </c>
      <c r="BU11" s="54" t="str">
        <f t="shared" si="22"/>
        <v>8%</v>
      </c>
    </row>
    <row r="12">
      <c r="B12" s="68" t="s">
        <v>34</v>
      </c>
      <c r="C12" s="51" t="str">
        <f t="shared" ref="C12:N12" si="50">SUMIF($B$38:$B$86,$B12,C$38:C$86)</f>
        <v>  (0.0)</v>
      </c>
      <c r="D12" s="51" t="str">
        <f t="shared" si="50"/>
        <v>  -   </v>
      </c>
      <c r="E12" s="51" t="str">
        <f t="shared" si="50"/>
        <v>  (0.1)</v>
      </c>
      <c r="F12" s="51" t="str">
        <f t="shared" si="50"/>
        <v>  (0.1)</v>
      </c>
      <c r="G12" s="51" t="str">
        <f t="shared" si="50"/>
        <v>  (0.0)</v>
      </c>
      <c r="H12" s="51" t="str">
        <f t="shared" si="50"/>
        <v>  (0.0)</v>
      </c>
      <c r="I12" s="51" t="str">
        <f t="shared" si="50"/>
        <v>  (0.0)</v>
      </c>
      <c r="J12" s="51" t="str">
        <f t="shared" si="50"/>
        <v>  (0.0)</v>
      </c>
      <c r="K12" s="51" t="str">
        <f t="shared" si="50"/>
        <v>  -   </v>
      </c>
      <c r="L12" s="51" t="str">
        <f t="shared" si="50"/>
        <v>  -   </v>
      </c>
      <c r="M12" s="51" t="str">
        <f t="shared" si="50"/>
        <v>  -   </v>
      </c>
      <c r="N12" s="51" t="str">
        <f t="shared" si="50"/>
        <v>  -   </v>
      </c>
      <c r="O12" s="51" t="str">
        <f t="shared" si="36"/>
        <v>  (0.3)</v>
      </c>
      <c r="Q12" s="68" t="s">
        <v>34</v>
      </c>
      <c r="R12" s="51" t="str">
        <f t="shared" ref="R12:AC12" si="51">SUMIF($Q$38:$Q$86,$Q12,R$38:R$86)</f>
        <v>  -   </v>
      </c>
      <c r="S12" s="51" t="str">
        <f t="shared" si="51"/>
        <v>  -   </v>
      </c>
      <c r="T12" s="51" t="str">
        <f t="shared" si="51"/>
        <v>  (0.1)</v>
      </c>
      <c r="U12" s="51" t="str">
        <f t="shared" si="51"/>
        <v>  (0.0)</v>
      </c>
      <c r="V12" s="51" t="str">
        <f t="shared" si="51"/>
        <v>  (0.0)</v>
      </c>
      <c r="W12" s="51" t="str">
        <f t="shared" si="51"/>
        <v>  (0.0)</v>
      </c>
      <c r="X12" s="51" t="str">
        <f t="shared" si="51"/>
        <v>  (0.0)</v>
      </c>
      <c r="Y12" s="51" t="str">
        <f t="shared" si="51"/>
        <v>  (0.0)</v>
      </c>
      <c r="Z12" s="51" t="str">
        <f t="shared" si="51"/>
        <v>  (0.2)</v>
      </c>
      <c r="AA12" s="51" t="str">
        <f t="shared" si="51"/>
        <v>  (0.0)</v>
      </c>
      <c r="AB12" s="51" t="str">
        <f t="shared" si="51"/>
        <v>  (0.0)</v>
      </c>
      <c r="AC12" s="51" t="str">
        <f t="shared" si="51"/>
        <v>  (0.1)</v>
      </c>
      <c r="AD12" s="51" t="str">
        <f t="shared" si="38"/>
        <v>  (0.4)</v>
      </c>
      <c r="AF12" s="68" t="s">
        <v>34</v>
      </c>
      <c r="AG12" s="51" t="str">
        <f t="shared" ref="AG12:AR12" si="52">SUMIF($AF$38:$AF$86,$AF12,AG$38:AG$86)</f>
        <v>  (0.1)</v>
      </c>
      <c r="AH12" s="51" t="str">
        <f t="shared" si="52"/>
        <v>  (0.1)</v>
      </c>
      <c r="AI12" s="51" t="str">
        <f t="shared" si="52"/>
        <v>  (0.1)</v>
      </c>
      <c r="AJ12" s="51" t="str">
        <f t="shared" si="52"/>
        <v>  (0.1)</v>
      </c>
      <c r="AK12" s="51" t="str">
        <f t="shared" si="52"/>
        <v>  (0.2)</v>
      </c>
      <c r="AL12" s="51" t="str">
        <f t="shared" si="52"/>
        <v>  (0.1)</v>
      </c>
      <c r="AM12" s="51" t="str">
        <f t="shared" si="52"/>
        <v>  (0.2)</v>
      </c>
      <c r="AN12" s="51" t="str">
        <f t="shared" si="52"/>
        <v>  (0.2)</v>
      </c>
      <c r="AO12" s="51" t="str">
        <f t="shared" si="52"/>
        <v>  (0.4)</v>
      </c>
      <c r="AP12" s="51" t="str">
        <f t="shared" si="52"/>
        <v>  (0.6)</v>
      </c>
      <c r="AQ12" s="51" t="str">
        <f t="shared" si="52"/>
        <v>  (0.7)</v>
      </c>
      <c r="AR12" s="51" t="str">
        <f t="shared" si="52"/>
        <v>  (0.7)</v>
      </c>
      <c r="AS12" s="51" t="str">
        <f t="shared" si="40"/>
        <v>  (3.3)</v>
      </c>
      <c r="AU12" s="68" t="s">
        <v>34</v>
      </c>
      <c r="AV12" s="51" t="str">
        <f t="shared" ref="AV12:BG12" si="53">SUMIF($AU$38:$AU$86,$AU12,AV$38:AV$86)</f>
        <v>  (0.0)</v>
      </c>
      <c r="AW12" s="51" t="str">
        <f t="shared" si="53"/>
        <v>  (0.0)</v>
      </c>
      <c r="AX12" s="51" t="str">
        <f t="shared" si="53"/>
        <v>  (0.0)</v>
      </c>
      <c r="AY12" s="51" t="str">
        <f t="shared" si="53"/>
        <v>  (0.0)</v>
      </c>
      <c r="AZ12" s="51" t="str">
        <f t="shared" si="53"/>
        <v>  (0.2)</v>
      </c>
      <c r="BA12" s="51" t="str">
        <f t="shared" si="53"/>
        <v>  (0.2)</v>
      </c>
      <c r="BB12" s="51" t="str">
        <f t="shared" si="53"/>
        <v>  (0.1)</v>
      </c>
      <c r="BC12" s="51" t="str">
        <f t="shared" si="53"/>
        <v>  (0.0)</v>
      </c>
      <c r="BD12" s="51" t="str">
        <f t="shared" si="53"/>
        <v>  (0.0)</v>
      </c>
      <c r="BE12" s="51" t="str">
        <f t="shared" si="53"/>
        <v>  (0.1)</v>
      </c>
      <c r="BF12" s="51" t="str">
        <f t="shared" si="53"/>
        <v>  (0.0)</v>
      </c>
      <c r="BG12" s="51" t="str">
        <f t="shared" si="53"/>
        <v>  (0.0)</v>
      </c>
      <c r="BH12" s="51" t="str">
        <f t="shared" si="42"/>
        <v>  (0.9)</v>
      </c>
      <c r="BK12" s="53" t="str">
        <f t="shared" si="43"/>
        <v>  (0.4)</v>
      </c>
      <c r="BL12" s="54" t="str">
        <f t="shared" si="14"/>
        <v>(0%)</v>
      </c>
      <c r="BM12" s="53" t="str">
        <f t="shared" si="44"/>
        <v>  (3.3)</v>
      </c>
      <c r="BN12" s="54" t="str">
        <f t="shared" si="16"/>
        <v>(1%)</v>
      </c>
      <c r="BO12" s="55" t="str">
        <f t="shared" si="45"/>
        <v>  (0.9)</v>
      </c>
      <c r="BP12" s="56" t="str">
        <f t="shared" si="18"/>
        <v>0%</v>
      </c>
      <c r="BQ12" s="57" t="s">
        <v>34</v>
      </c>
      <c r="BR12" s="58" t="str">
        <f t="shared" si="19"/>
        <v>  2.5 </v>
      </c>
      <c r="BS12" s="54" t="str">
        <f t="shared" si="20"/>
        <v>74%</v>
      </c>
      <c r="BT12" s="58" t="str">
        <f t="shared" si="21"/>
        <v>  (0.4)</v>
      </c>
      <c r="BU12" s="54" t="str">
        <f t="shared" si="22"/>
        <v>(92%)</v>
      </c>
    </row>
    <row r="13">
      <c r="B13" s="68" t="s">
        <v>65</v>
      </c>
      <c r="C13" s="51" t="str">
        <f t="shared" ref="C13:N13" si="54">SUMIF($B$38:$B$86,$B13,C$38:C$86)</f>
        <v>  (0.3)</v>
      </c>
      <c r="D13" s="51" t="str">
        <f t="shared" si="54"/>
        <v>  (0.3)</v>
      </c>
      <c r="E13" s="51" t="str">
        <f t="shared" si="54"/>
        <v>  (0.3)</v>
      </c>
      <c r="F13" s="51" t="str">
        <f t="shared" si="54"/>
        <v>  (0.3)</v>
      </c>
      <c r="G13" s="51" t="str">
        <f t="shared" si="54"/>
        <v>  (0.4)</v>
      </c>
      <c r="H13" s="51" t="str">
        <f t="shared" si="54"/>
        <v>  (0.3)</v>
      </c>
      <c r="I13" s="51" t="str">
        <f t="shared" si="54"/>
        <v>  (0.3)</v>
      </c>
      <c r="J13" s="51" t="str">
        <f t="shared" si="54"/>
        <v>  (0.3)</v>
      </c>
      <c r="K13" s="51" t="str">
        <f t="shared" si="54"/>
        <v>  (0.3)</v>
      </c>
      <c r="L13" s="51" t="str">
        <f t="shared" si="54"/>
        <v>  (0.3)</v>
      </c>
      <c r="M13" s="51" t="str">
        <f t="shared" si="54"/>
        <v>  (0.3)</v>
      </c>
      <c r="N13" s="51" t="str">
        <f t="shared" si="54"/>
        <v>  (0.3)</v>
      </c>
      <c r="O13" s="51" t="str">
        <f t="shared" si="36"/>
        <v>  (3.7)</v>
      </c>
      <c r="Q13" s="68" t="s">
        <v>65</v>
      </c>
      <c r="R13" s="51" t="str">
        <f t="shared" ref="R13:AC13" si="55">SUMIF($Q$38:$Q$86,$Q13,R$38:R$86)</f>
        <v>  (0.3)</v>
      </c>
      <c r="S13" s="51" t="str">
        <f t="shared" si="55"/>
        <v>  (0.3)</v>
      </c>
      <c r="T13" s="51" t="str">
        <f t="shared" si="55"/>
        <v>  (0.3)</v>
      </c>
      <c r="U13" s="51" t="str">
        <f t="shared" si="55"/>
        <v>  (0.4)</v>
      </c>
      <c r="V13" s="51" t="str">
        <f t="shared" si="55"/>
        <v>  (0.6)</v>
      </c>
      <c r="W13" s="51" t="str">
        <f t="shared" si="55"/>
        <v>  (0.6)</v>
      </c>
      <c r="X13" s="51" t="str">
        <f t="shared" si="55"/>
        <v>  (0.6)</v>
      </c>
      <c r="Y13" s="51" t="str">
        <f t="shared" si="55"/>
        <v>  (0.6)</v>
      </c>
      <c r="Z13" s="51" t="str">
        <f t="shared" si="55"/>
        <v>  (0.6)</v>
      </c>
      <c r="AA13" s="51" t="str">
        <f t="shared" si="55"/>
        <v>  (0.7)</v>
      </c>
      <c r="AB13" s="51" t="str">
        <f t="shared" si="55"/>
        <v>  (0.6)</v>
      </c>
      <c r="AC13" s="51" t="str">
        <f t="shared" si="55"/>
        <v>  (0.6)</v>
      </c>
      <c r="AD13" s="51" t="str">
        <f t="shared" si="38"/>
        <v>  (6.1)</v>
      </c>
      <c r="AF13" s="68" t="s">
        <v>65</v>
      </c>
      <c r="AG13" s="51" t="str">
        <f t="shared" ref="AG13:AR13" si="56">SUMIF($AF$38:$AF$86,$AF13,AG$38:AG$86)</f>
        <v>  (0.9)</v>
      </c>
      <c r="AH13" s="51" t="str">
        <f t="shared" si="56"/>
        <v>  (0.2)</v>
      </c>
      <c r="AI13" s="51" t="str">
        <f t="shared" si="56"/>
        <v>  (0.2)</v>
      </c>
      <c r="AJ13" s="51" t="str">
        <f t="shared" si="56"/>
        <v>  (0.2)</v>
      </c>
      <c r="AK13" s="51" t="str">
        <f t="shared" si="56"/>
        <v>  (0.2)</v>
      </c>
      <c r="AL13" s="51" t="str">
        <f t="shared" si="56"/>
        <v>  (0.2)</v>
      </c>
      <c r="AM13" s="51" t="str">
        <f t="shared" si="56"/>
        <v>  (0.2)</v>
      </c>
      <c r="AN13" s="51" t="str">
        <f t="shared" si="56"/>
        <v>  (0.1)</v>
      </c>
      <c r="AO13" s="51" t="str">
        <f t="shared" si="56"/>
        <v>  (0.1)</v>
      </c>
      <c r="AP13" s="51" t="str">
        <f t="shared" si="56"/>
        <v>  (0.1)</v>
      </c>
      <c r="AQ13" s="51" t="str">
        <f t="shared" si="56"/>
        <v>  (0.1)</v>
      </c>
      <c r="AR13" s="51" t="str">
        <f t="shared" si="56"/>
        <v>  (0.1)</v>
      </c>
      <c r="AS13" s="51" t="str">
        <f t="shared" si="40"/>
        <v>  (2.4)</v>
      </c>
      <c r="AU13" s="68" t="s">
        <v>65</v>
      </c>
      <c r="AV13" s="51" t="str">
        <f t="shared" ref="AV13:BG13" si="57">SUMIF($AU$38:$AU$86,$AU13,AV$38:AV$86)</f>
        <v>#REF!</v>
      </c>
      <c r="AW13" s="51" t="str">
        <f t="shared" si="57"/>
        <v>#REF!</v>
      </c>
      <c r="AX13" s="51" t="str">
        <f t="shared" si="57"/>
        <v>#REF!</v>
      </c>
      <c r="AY13" s="51" t="str">
        <f t="shared" si="57"/>
        <v>#REF!</v>
      </c>
      <c r="AZ13" s="51" t="str">
        <f t="shared" si="57"/>
        <v>  -   </v>
      </c>
      <c r="BA13" s="51" t="str">
        <f t="shared" si="57"/>
        <v>  -   </v>
      </c>
      <c r="BB13" s="51" t="str">
        <f t="shared" si="57"/>
        <v>  -   </v>
      </c>
      <c r="BC13" s="51" t="str">
        <f t="shared" si="57"/>
        <v>  -   </v>
      </c>
      <c r="BD13" s="51" t="str">
        <f t="shared" si="57"/>
        <v>  -   </v>
      </c>
      <c r="BE13" s="51" t="str">
        <f t="shared" si="57"/>
        <v>  -   </v>
      </c>
      <c r="BF13" s="51" t="str">
        <f t="shared" si="57"/>
        <v>  -   </v>
      </c>
      <c r="BG13" s="51" t="str">
        <f t="shared" si="57"/>
        <v>  -   </v>
      </c>
      <c r="BH13" s="51" t="str">
        <f t="shared" si="42"/>
        <v>#REF!</v>
      </c>
      <c r="BK13" s="53" t="str">
        <f t="shared" si="43"/>
        <v>  (6.1)</v>
      </c>
      <c r="BL13" s="54" t="str">
        <f t="shared" si="14"/>
        <v>(1%)</v>
      </c>
      <c r="BM13" s="53" t="str">
        <f t="shared" si="44"/>
        <v>  (2.4)</v>
      </c>
      <c r="BN13" s="54" t="str">
        <f t="shared" si="16"/>
        <v>(0%)</v>
      </c>
      <c r="BO13" s="55" t="str">
        <f t="shared" si="45"/>
        <v>#REF!</v>
      </c>
      <c r="BP13" s="56" t="str">
        <f t="shared" si="18"/>
        <v>0%</v>
      </c>
      <c r="BQ13" s="57" t="s">
        <v>65</v>
      </c>
      <c r="BR13" s="58" t="str">
        <f t="shared" si="19"/>
        <v>#REF!</v>
      </c>
      <c r="BS13" s="54" t="str">
        <f t="shared" si="20"/>
        <v>#REF!</v>
      </c>
      <c r="BT13" s="58" t="str">
        <f t="shared" si="21"/>
        <v>#REF!</v>
      </c>
      <c r="BU13" s="54" t="str">
        <f t="shared" si="22"/>
        <v>#REF!</v>
      </c>
    </row>
    <row r="14">
      <c r="B14" s="68" t="s">
        <v>36</v>
      </c>
      <c r="C14" s="51" t="str">
        <f t="shared" ref="C14:N14" si="58">SUMIF($B$38:$B$86,$B14,C$38:C$86)</f>
        <v>  -   </v>
      </c>
      <c r="D14" s="51" t="str">
        <f t="shared" si="58"/>
        <v>  -   </v>
      </c>
      <c r="E14" s="51" t="str">
        <f t="shared" si="58"/>
        <v>  -   </v>
      </c>
      <c r="F14" s="51" t="str">
        <f t="shared" si="58"/>
        <v>  -   </v>
      </c>
      <c r="G14" s="51" t="str">
        <f t="shared" si="58"/>
        <v>  -   </v>
      </c>
      <c r="H14" s="51" t="str">
        <f t="shared" si="58"/>
        <v>  -   </v>
      </c>
      <c r="I14" s="51" t="str">
        <f t="shared" si="58"/>
        <v>  -   </v>
      </c>
      <c r="J14" s="51" t="str">
        <f t="shared" si="58"/>
        <v>  -   </v>
      </c>
      <c r="K14" s="51" t="str">
        <f t="shared" si="58"/>
        <v>  -   </v>
      </c>
      <c r="L14" s="51" t="str">
        <f t="shared" si="58"/>
        <v>  -   </v>
      </c>
      <c r="M14" s="51" t="str">
        <f t="shared" si="58"/>
        <v>  -   </v>
      </c>
      <c r="N14" s="51" t="str">
        <f t="shared" si="58"/>
        <v>  -   </v>
      </c>
      <c r="O14" s="51" t="str">
        <f t="shared" si="36"/>
        <v>  -   </v>
      </c>
      <c r="Q14" s="68" t="s">
        <v>36</v>
      </c>
      <c r="R14" s="51" t="str">
        <f t="shared" ref="R14:AC14" si="59">SUMIF($Q$38:$Q$86,$Q14,R$38:R$86)</f>
        <v>  -   </v>
      </c>
      <c r="S14" s="51" t="str">
        <f t="shared" si="59"/>
        <v>  -   </v>
      </c>
      <c r="T14" s="51" t="str">
        <f t="shared" si="59"/>
        <v>  -   </v>
      </c>
      <c r="U14" s="51" t="str">
        <f t="shared" si="59"/>
        <v>  -   </v>
      </c>
      <c r="V14" s="51" t="str">
        <f t="shared" si="59"/>
        <v>  -   </v>
      </c>
      <c r="W14" s="51" t="str">
        <f t="shared" si="59"/>
        <v>  -   </v>
      </c>
      <c r="X14" s="51" t="str">
        <f t="shared" si="59"/>
        <v>  -   </v>
      </c>
      <c r="Y14" s="51" t="str">
        <f t="shared" si="59"/>
        <v>  -   </v>
      </c>
      <c r="Z14" s="51" t="str">
        <f t="shared" si="59"/>
        <v>  -   </v>
      </c>
      <c r="AA14" s="51" t="str">
        <f t="shared" si="59"/>
        <v>  -   </v>
      </c>
      <c r="AB14" s="51" t="str">
        <f t="shared" si="59"/>
        <v>  -   </v>
      </c>
      <c r="AC14" s="51" t="str">
        <f t="shared" si="59"/>
        <v>  -   </v>
      </c>
      <c r="AD14" s="51" t="str">
        <f t="shared" si="38"/>
        <v>  -   </v>
      </c>
      <c r="AF14" s="68" t="s">
        <v>36</v>
      </c>
      <c r="AG14" s="51" t="str">
        <f t="shared" ref="AG14:AR14" si="60">SUMIF($AF$38:$AF$86,$AF14,AG$38:AG$86)</f>
        <v>  (0.0)</v>
      </c>
      <c r="AH14" s="51" t="str">
        <f t="shared" si="60"/>
        <v>  (0.1)</v>
      </c>
      <c r="AI14" s="51" t="str">
        <f t="shared" si="60"/>
        <v>  (0.1)</v>
      </c>
      <c r="AJ14" s="51" t="str">
        <f t="shared" si="60"/>
        <v>  (0.1)</v>
      </c>
      <c r="AK14" s="51" t="str">
        <f t="shared" si="60"/>
        <v>  (0.1)</v>
      </c>
      <c r="AL14" s="51" t="str">
        <f t="shared" si="60"/>
        <v>  (0.1)</v>
      </c>
      <c r="AM14" s="51" t="str">
        <f t="shared" si="60"/>
        <v>  (0.1)</v>
      </c>
      <c r="AN14" s="51" t="str">
        <f t="shared" si="60"/>
        <v>  (0.1)</v>
      </c>
      <c r="AO14" s="51" t="str">
        <f t="shared" si="60"/>
        <v>  (0.2)</v>
      </c>
      <c r="AP14" s="51" t="str">
        <f t="shared" si="60"/>
        <v>  (0.4)</v>
      </c>
      <c r="AQ14" s="51" t="str">
        <f t="shared" si="60"/>
        <v>  (0.5)</v>
      </c>
      <c r="AR14" s="51" t="str">
        <f t="shared" si="60"/>
        <v>  (0.5)</v>
      </c>
      <c r="AS14" s="51" t="str">
        <f t="shared" si="40"/>
        <v>  (2.3)</v>
      </c>
      <c r="AU14" s="68" t="s">
        <v>36</v>
      </c>
      <c r="AV14" s="51" t="str">
        <f t="shared" ref="AV14:BG14" si="61">SUMIF($AU$38:$AU$86,$AU14,AV$38:AV$86)</f>
        <v>  -   </v>
      </c>
      <c r="AW14" s="51" t="str">
        <f t="shared" si="61"/>
        <v>  -   </v>
      </c>
      <c r="AX14" s="51" t="str">
        <f t="shared" si="61"/>
        <v>  -   </v>
      </c>
      <c r="AY14" s="51" t="str">
        <f t="shared" si="61"/>
        <v>  -   </v>
      </c>
      <c r="AZ14" s="51" t="str">
        <f t="shared" si="61"/>
        <v>  -   </v>
      </c>
      <c r="BA14" s="51" t="str">
        <f t="shared" si="61"/>
        <v>  -   </v>
      </c>
      <c r="BB14" s="51" t="str">
        <f t="shared" si="61"/>
        <v>  -   </v>
      </c>
      <c r="BC14" s="51" t="str">
        <f t="shared" si="61"/>
        <v>  -   </v>
      </c>
      <c r="BD14" s="51" t="str">
        <f t="shared" si="61"/>
        <v>  -   </v>
      </c>
      <c r="BE14" s="51" t="str">
        <f t="shared" si="61"/>
        <v>  -   </v>
      </c>
      <c r="BF14" s="51" t="str">
        <f t="shared" si="61"/>
        <v>  -   </v>
      </c>
      <c r="BG14" s="51" t="str">
        <f t="shared" si="61"/>
        <v>  -   </v>
      </c>
      <c r="BH14" s="51" t="str">
        <f t="shared" si="42"/>
        <v>  -   </v>
      </c>
      <c r="BK14" s="53" t="str">
        <f t="shared" si="43"/>
        <v>  -   </v>
      </c>
      <c r="BL14" s="54" t="str">
        <f t="shared" si="14"/>
        <v>0%</v>
      </c>
      <c r="BM14" s="53" t="str">
        <f t="shared" si="44"/>
        <v>  (2.3)</v>
      </c>
      <c r="BN14" s="54" t="str">
        <f t="shared" si="16"/>
        <v>(0%)</v>
      </c>
      <c r="BO14" s="55" t="str">
        <f t="shared" si="45"/>
        <v>  -   </v>
      </c>
      <c r="BP14" s="56" t="str">
        <f t="shared" si="18"/>
        <v>0%</v>
      </c>
      <c r="BQ14" s="57" t="s">
        <v>36</v>
      </c>
      <c r="BR14" s="58" t="str">
        <f t="shared" si="19"/>
        <v>  2.3 </v>
      </c>
      <c r="BS14" s="54" t="str">
        <f t="shared" si="20"/>
        <v>100%</v>
      </c>
      <c r="BT14" s="58" t="str">
        <f t="shared" si="21"/>
        <v>  -   </v>
      </c>
      <c r="BU14" s="54" t="str">
        <f t="shared" si="22"/>
        <v>0%</v>
      </c>
    </row>
    <row r="15">
      <c r="B15" s="65" t="s">
        <v>37</v>
      </c>
      <c r="C15" s="71" t="str">
        <f t="shared" ref="C15:O15" si="62">SUM(C9:C14)</f>
        <v>  (29.1)</v>
      </c>
      <c r="D15" s="71" t="str">
        <f t="shared" si="62"/>
        <v>  (32.7)</v>
      </c>
      <c r="E15" s="71" t="str">
        <f t="shared" si="62"/>
        <v>  (35.3)</v>
      </c>
      <c r="F15" s="71" t="str">
        <f t="shared" si="62"/>
        <v>  (61.3)</v>
      </c>
      <c r="G15" s="71" t="str">
        <f t="shared" si="62"/>
        <v>  (41.9)</v>
      </c>
      <c r="H15" s="71" t="str">
        <f t="shared" si="62"/>
        <v>  (60.6)</v>
      </c>
      <c r="I15" s="71" t="str">
        <f t="shared" si="62"/>
        <v>  (45.3)</v>
      </c>
      <c r="J15" s="71" t="str">
        <f t="shared" si="62"/>
        <v>  (51.8)</v>
      </c>
      <c r="K15" s="71" t="str">
        <f t="shared" si="62"/>
        <v>  (44.2)</v>
      </c>
      <c r="L15" s="71" t="str">
        <f t="shared" si="62"/>
        <v>  (63.5)</v>
      </c>
      <c r="M15" s="71" t="str">
        <f t="shared" si="62"/>
        <v>  (87.6)</v>
      </c>
      <c r="N15" s="71" t="str">
        <f t="shared" si="62"/>
        <v>  (61.3)</v>
      </c>
      <c r="O15" s="71" t="str">
        <f t="shared" si="62"/>
        <v>  (614.6)</v>
      </c>
      <c r="Q15" s="65" t="s">
        <v>37</v>
      </c>
      <c r="R15" s="71" t="str">
        <f t="shared" ref="R15:AD15" si="63">SUM(R9:R14)</f>
        <v>  (39.5)</v>
      </c>
      <c r="S15" s="71" t="str">
        <f t="shared" si="63"/>
        <v>  (41.1)</v>
      </c>
      <c r="T15" s="71" t="str">
        <f t="shared" si="63"/>
        <v>  (43.8)</v>
      </c>
      <c r="U15" s="71" t="str">
        <f t="shared" si="63"/>
        <v>  (46.0)</v>
      </c>
      <c r="V15" s="71" t="str">
        <f t="shared" si="63"/>
        <v>  (48.9)</v>
      </c>
      <c r="W15" s="71" t="str">
        <f t="shared" si="63"/>
        <v>  (46.9)</v>
      </c>
      <c r="X15" s="71" t="str">
        <f t="shared" si="63"/>
        <v>  (52.5)</v>
      </c>
      <c r="Y15" s="71" t="str">
        <f t="shared" si="63"/>
        <v>  (53.3)</v>
      </c>
      <c r="Z15" s="71" t="str">
        <f t="shared" si="63"/>
        <v>  (58.1)</v>
      </c>
      <c r="AA15" s="71" t="str">
        <f t="shared" si="63"/>
        <v>  (41.0)</v>
      </c>
      <c r="AB15" s="71" t="str">
        <f t="shared" si="63"/>
        <v>  (50.5)</v>
      </c>
      <c r="AC15" s="71" t="str">
        <f t="shared" si="63"/>
        <v>  (74.5)</v>
      </c>
      <c r="AD15" s="71" t="str">
        <f t="shared" si="63"/>
        <v>  (596.1)</v>
      </c>
      <c r="AF15" s="65" t="s">
        <v>37</v>
      </c>
      <c r="AG15" s="71" t="str">
        <f t="shared" ref="AG15:AS15" si="64">SUM(AG9:AG14)</f>
        <v>  (16.9)</v>
      </c>
      <c r="AH15" s="71" t="str">
        <f t="shared" si="64"/>
        <v>  (17.1)</v>
      </c>
      <c r="AI15" s="71" t="str">
        <f t="shared" si="64"/>
        <v>  (16.0)</v>
      </c>
      <c r="AJ15" s="71" t="str">
        <f t="shared" si="64"/>
        <v>  (20.2)</v>
      </c>
      <c r="AK15" s="71" t="str">
        <f t="shared" si="64"/>
        <v>  (27.0)</v>
      </c>
      <c r="AL15" s="71" t="str">
        <f t="shared" si="64"/>
        <v>  (23.7)</v>
      </c>
      <c r="AM15" s="71" t="str">
        <f t="shared" si="64"/>
        <v>  (20.9)</v>
      </c>
      <c r="AN15" s="71" t="str">
        <f t="shared" si="64"/>
        <v>  (29.7)</v>
      </c>
      <c r="AO15" s="71" t="str">
        <f t="shared" si="64"/>
        <v>  (31.5)</v>
      </c>
      <c r="AP15" s="71" t="str">
        <f t="shared" si="64"/>
        <v>  (32.9)</v>
      </c>
      <c r="AQ15" s="71" t="str">
        <f t="shared" si="64"/>
        <v>  (36.0)</v>
      </c>
      <c r="AR15" s="71" t="str">
        <f t="shared" si="64"/>
        <v>  (54.8)</v>
      </c>
      <c r="AS15" s="71" t="str">
        <f t="shared" si="64"/>
        <v>  (326.7)</v>
      </c>
      <c r="AU15" s="65" t="s">
        <v>37</v>
      </c>
      <c r="AV15" s="71" t="str">
        <f t="shared" ref="AV15:BH15" si="65">SUM(AV9:AV14)</f>
        <v>#REF!</v>
      </c>
      <c r="AW15" s="71" t="str">
        <f t="shared" si="65"/>
        <v>#REF!</v>
      </c>
      <c r="AX15" s="71" t="str">
        <f t="shared" si="65"/>
        <v>#REF!</v>
      </c>
      <c r="AY15" s="71" t="str">
        <f t="shared" si="65"/>
        <v>#REF!</v>
      </c>
      <c r="AZ15" s="71" t="str">
        <f t="shared" si="65"/>
        <v>  (27.5)</v>
      </c>
      <c r="BA15" s="71" t="str">
        <f t="shared" si="65"/>
        <v>  (24.5)</v>
      </c>
      <c r="BB15" s="71" t="str">
        <f t="shared" si="65"/>
        <v>  (20.3)</v>
      </c>
      <c r="BC15" s="71" t="str">
        <f t="shared" si="65"/>
        <v>  (26.4)</v>
      </c>
      <c r="BD15" s="71" t="str">
        <f t="shared" si="65"/>
        <v>  (29.4)</v>
      </c>
      <c r="BE15" s="71" t="str">
        <f t="shared" si="65"/>
        <v>  (28.8)</v>
      </c>
      <c r="BF15" s="71" t="str">
        <f t="shared" si="65"/>
        <v>  (48.4)</v>
      </c>
      <c r="BG15" s="71" t="str">
        <f t="shared" si="65"/>
        <v>  (42.8)</v>
      </c>
      <c r="BH15" s="71" t="str">
        <f t="shared" si="65"/>
        <v>#REF!</v>
      </c>
      <c r="BK15" s="72" t="str">
        <f>SUM(BK9:BK14)</f>
        <v>  (596.1)</v>
      </c>
      <c r="BL15" s="62" t="str">
        <f t="shared" si="14"/>
        <v>(72%)</v>
      </c>
      <c r="BM15" s="72" t="str">
        <f>SUM(BM9:BM14)</f>
        <v>  (326.7)</v>
      </c>
      <c r="BN15" s="62" t="str">
        <f t="shared" si="16"/>
        <v>(58%)</v>
      </c>
      <c r="BO15" s="63" t="str">
        <f>SUM(BO9:BO14)</f>
        <v>#REF!</v>
      </c>
      <c r="BP15" s="64" t="str">
        <f t="shared" si="18"/>
        <v>0%</v>
      </c>
      <c r="BQ15" s="65" t="s">
        <v>37</v>
      </c>
      <c r="BR15" s="66" t="str">
        <f t="shared" si="19"/>
        <v>#REF!</v>
      </c>
      <c r="BS15" s="62" t="str">
        <f t="shared" si="20"/>
        <v>#REF!</v>
      </c>
      <c r="BT15" s="66" t="str">
        <f t="shared" si="21"/>
        <v>#REF!</v>
      </c>
      <c r="BU15" s="62" t="str">
        <f t="shared" si="22"/>
        <v>#REF!</v>
      </c>
    </row>
    <row r="16">
      <c r="B16" s="59" t="s">
        <v>38</v>
      </c>
      <c r="C16" s="60" t="str">
        <f t="shared" ref="C16:O16" si="66">C8+C15</f>
        <v>  10.0 </v>
      </c>
      <c r="D16" s="60" t="str">
        <f t="shared" si="66"/>
        <v>  10.6 </v>
      </c>
      <c r="E16" s="60" t="str">
        <f t="shared" si="66"/>
        <v>  15.7 </v>
      </c>
      <c r="F16" s="60" t="str">
        <f t="shared" si="66"/>
        <v>  7.9 </v>
      </c>
      <c r="G16" s="60" t="str">
        <f t="shared" si="66"/>
        <v>  22.5 </v>
      </c>
      <c r="H16" s="60" t="str">
        <f t="shared" si="66"/>
        <v>  13.6 </v>
      </c>
      <c r="I16" s="60" t="str">
        <f t="shared" si="66"/>
        <v>  18.2 </v>
      </c>
      <c r="J16" s="60" t="str">
        <f t="shared" si="66"/>
        <v>  19.8 </v>
      </c>
      <c r="K16" s="60" t="str">
        <f t="shared" si="66"/>
        <v>  18.2 </v>
      </c>
      <c r="L16" s="60" t="str">
        <f t="shared" si="66"/>
        <v>  22.3 </v>
      </c>
      <c r="M16" s="60" t="str">
        <f t="shared" si="66"/>
        <v>  25.9 </v>
      </c>
      <c r="N16" s="60" t="str">
        <f t="shared" si="66"/>
        <v>  28.4 </v>
      </c>
      <c r="O16" s="60" t="str">
        <f t="shared" si="66"/>
        <v>  213.1 </v>
      </c>
      <c r="Q16" s="59" t="s">
        <v>38</v>
      </c>
      <c r="R16" s="60" t="str">
        <f t="shared" ref="R16:AD16" si="67">R8+R15</f>
        <v>  12.1 </v>
      </c>
      <c r="S16" s="60" t="str">
        <f t="shared" si="67"/>
        <v>  18.7 </v>
      </c>
      <c r="T16" s="60" t="str">
        <f t="shared" si="67"/>
        <v>  17.7 </v>
      </c>
      <c r="U16" s="60" t="str">
        <f t="shared" si="67"/>
        <v>  21.8 </v>
      </c>
      <c r="V16" s="60" t="str">
        <f t="shared" si="67"/>
        <v>  16.2 </v>
      </c>
      <c r="W16" s="60" t="str">
        <f t="shared" si="67"/>
        <v>  20.8 </v>
      </c>
      <c r="X16" s="60" t="str">
        <f t="shared" si="67"/>
        <v>  19.9 </v>
      </c>
      <c r="Y16" s="60" t="str">
        <f t="shared" si="67"/>
        <v>  22.9 </v>
      </c>
      <c r="Z16" s="60" t="str">
        <f t="shared" si="67"/>
        <v>  23.0 </v>
      </c>
      <c r="AA16" s="60" t="str">
        <f t="shared" si="67"/>
        <v>  22.4 </v>
      </c>
      <c r="AB16" s="60" t="str">
        <f t="shared" si="67"/>
        <v>  36.1 </v>
      </c>
      <c r="AC16" s="60" t="str">
        <f t="shared" si="67"/>
        <v>  0.1 </v>
      </c>
      <c r="AD16" s="60" t="str">
        <f t="shared" si="67"/>
        <v>  231.6 </v>
      </c>
      <c r="AF16" s="59" t="s">
        <v>38</v>
      </c>
      <c r="AG16" s="60" t="str">
        <f t="shared" ref="AG16:AS16" si="68">AG8+AG15</f>
        <v>  12.5 </v>
      </c>
      <c r="AH16" s="60" t="str">
        <f t="shared" si="68"/>
        <v>  12.2 </v>
      </c>
      <c r="AI16" s="60" t="str">
        <f t="shared" si="68"/>
        <v>  12.1 </v>
      </c>
      <c r="AJ16" s="60" t="str">
        <f t="shared" si="68"/>
        <v>  14.3 </v>
      </c>
      <c r="AK16" s="60" t="str">
        <f t="shared" si="68"/>
        <v>  18.7 </v>
      </c>
      <c r="AL16" s="60" t="str">
        <f t="shared" si="68"/>
        <v>  18.2 </v>
      </c>
      <c r="AM16" s="60" t="str">
        <f t="shared" si="68"/>
        <v>  15.9 </v>
      </c>
      <c r="AN16" s="60" t="str">
        <f t="shared" si="68"/>
        <v>  21.8 </v>
      </c>
      <c r="AO16" s="60" t="str">
        <f t="shared" si="68"/>
        <v>  22.9 </v>
      </c>
      <c r="AP16" s="60" t="str">
        <f t="shared" si="68"/>
        <v>  23.2 </v>
      </c>
      <c r="AQ16" s="60" t="str">
        <f t="shared" si="68"/>
        <v>  24.9 </v>
      </c>
      <c r="AR16" s="60" t="str">
        <f t="shared" si="68"/>
        <v>  37.5 </v>
      </c>
      <c r="AS16" s="60" t="str">
        <f t="shared" si="68"/>
        <v>  234.0 </v>
      </c>
      <c r="AU16" s="59" t="s">
        <v>38</v>
      </c>
      <c r="AV16" s="60" t="str">
        <f t="shared" ref="AV16:BH16" si="69">AV8+AV15</f>
        <v>#REF!</v>
      </c>
      <c r="AW16" s="60" t="str">
        <f t="shared" si="69"/>
        <v>#REF!</v>
      </c>
      <c r="AX16" s="60" t="str">
        <f t="shared" si="69"/>
        <v>#REF!</v>
      </c>
      <c r="AY16" s="60" t="str">
        <f t="shared" si="69"/>
        <v>#REF!</v>
      </c>
      <c r="AZ16" s="60" t="str">
        <f t="shared" si="69"/>
        <v>  17.9 </v>
      </c>
      <c r="BA16" s="60" t="str">
        <f t="shared" si="69"/>
        <v>  16.7 </v>
      </c>
      <c r="BB16" s="60" t="str">
        <f t="shared" si="69"/>
        <v>  14.1 </v>
      </c>
      <c r="BC16" s="60" t="str">
        <f t="shared" si="69"/>
        <v>  17.8 </v>
      </c>
      <c r="BD16" s="60" t="str">
        <f t="shared" si="69"/>
        <v>  19.7 </v>
      </c>
      <c r="BE16" s="60" t="str">
        <f t="shared" si="69"/>
        <v>  20.2 </v>
      </c>
      <c r="BF16" s="60" t="str">
        <f t="shared" si="69"/>
        <v>  32.2 </v>
      </c>
      <c r="BG16" s="60" t="str">
        <f t="shared" si="69"/>
        <v>  28.9 </v>
      </c>
      <c r="BH16" s="60" t="str">
        <f t="shared" si="69"/>
        <v>#REF!</v>
      </c>
      <c r="BK16" s="73" t="str">
        <f>BK8+BK15</f>
        <v>  231.6 </v>
      </c>
      <c r="BL16" s="74" t="str">
        <f t="shared" si="14"/>
        <v>28%</v>
      </c>
      <c r="BM16" s="73" t="str">
        <f>BM8+BM15</f>
        <v>  234.0 </v>
      </c>
      <c r="BN16" s="74" t="str">
        <f t="shared" si="16"/>
        <v>42%</v>
      </c>
      <c r="BO16" s="73" t="str">
        <f>BO8+BO15</f>
        <v>#REF!</v>
      </c>
      <c r="BP16" s="74" t="str">
        <f t="shared" si="18"/>
        <v>0%</v>
      </c>
      <c r="BQ16" s="75" t="s">
        <v>38</v>
      </c>
      <c r="BR16" s="73" t="str">
        <f t="shared" si="19"/>
        <v>#REF!</v>
      </c>
      <c r="BS16" s="74" t="str">
        <f t="shared" si="20"/>
        <v>#REF!</v>
      </c>
      <c r="BT16" s="73" t="str">
        <f t="shared" si="21"/>
        <v>#REF!</v>
      </c>
      <c r="BU16" s="74" t="str">
        <f t="shared" si="22"/>
        <v>#REF!</v>
      </c>
    </row>
    <row r="17">
      <c r="B17" s="68" t="s">
        <v>39</v>
      </c>
      <c r="C17" s="51" t="str">
        <f t="shared" ref="C17:N17" si="70">SUMIF($B$38:$B$86,$B17,C$38:C$86)</f>
        <v>  (3.5)</v>
      </c>
      <c r="D17" s="51" t="str">
        <f t="shared" si="70"/>
        <v>  (3.1)</v>
      </c>
      <c r="E17" s="51" t="str">
        <f t="shared" si="70"/>
        <v>  (3.6)</v>
      </c>
      <c r="F17" s="51" t="str">
        <f t="shared" si="70"/>
        <v>  (3.4)</v>
      </c>
      <c r="G17" s="51" t="str">
        <f t="shared" si="70"/>
        <v>  (3.5)</v>
      </c>
      <c r="H17" s="51" t="str">
        <f t="shared" si="70"/>
        <v>  (3.8)</v>
      </c>
      <c r="I17" s="51" t="str">
        <f t="shared" si="70"/>
        <v>  (3.6)</v>
      </c>
      <c r="J17" s="51" t="str">
        <f t="shared" si="70"/>
        <v>  (3.8)</v>
      </c>
      <c r="K17" s="51" t="str">
        <f t="shared" si="70"/>
        <v>  (4.0)</v>
      </c>
      <c r="L17" s="51" t="str">
        <f t="shared" si="70"/>
        <v>  (3.9)</v>
      </c>
      <c r="M17" s="51" t="str">
        <f t="shared" si="70"/>
        <v>  (4.1)</v>
      </c>
      <c r="N17" s="51" t="str">
        <f t="shared" si="70"/>
        <v>  (4.4)</v>
      </c>
      <c r="O17" s="51" t="str">
        <f t="shared" ref="O17:O27" si="75">+SUM(C17:N17)</f>
        <v>  (44.8)</v>
      </c>
      <c r="Q17" s="68" t="s">
        <v>39</v>
      </c>
      <c r="R17" s="51" t="str">
        <f t="shared" ref="R17:AC17" si="71">SUMIF($Q$38:$Q$86,$Q17,R$38:R$86)</f>
        <v>  (4.6)</v>
      </c>
      <c r="S17" s="51" t="str">
        <f t="shared" si="71"/>
        <v>  (4.5)</v>
      </c>
      <c r="T17" s="51" t="str">
        <f t="shared" si="71"/>
        <v>  (4.5)</v>
      </c>
      <c r="U17" s="51" t="str">
        <f t="shared" si="71"/>
        <v>  (4.7)</v>
      </c>
      <c r="V17" s="51" t="str">
        <f t="shared" si="71"/>
        <v>  (4.5)</v>
      </c>
      <c r="W17" s="51" t="str">
        <f t="shared" si="71"/>
        <v>  (4.8)</v>
      </c>
      <c r="X17" s="51" t="str">
        <f t="shared" si="71"/>
        <v>  (4.5)</v>
      </c>
      <c r="Y17" s="51" t="str">
        <f t="shared" si="71"/>
        <v>  (4.7)</v>
      </c>
      <c r="Z17" s="51" t="str">
        <f t="shared" si="71"/>
        <v>  (5.0)</v>
      </c>
      <c r="AA17" s="51" t="str">
        <f t="shared" si="71"/>
        <v>  (6.0)</v>
      </c>
      <c r="AB17" s="51" t="str">
        <f t="shared" si="71"/>
        <v>  (4.7)</v>
      </c>
      <c r="AC17" s="51" t="str">
        <f t="shared" si="71"/>
        <v>  (5.0)</v>
      </c>
      <c r="AD17" s="51" t="str">
        <f t="shared" ref="AD17:AD27" si="77">+SUM(R17:AC17)</f>
        <v>  (57.4)</v>
      </c>
      <c r="AF17" s="68" t="s">
        <v>39</v>
      </c>
      <c r="AG17" s="51" t="str">
        <f t="shared" ref="AG17:AR17" si="72">SUMIF($AF$38:$AF$86,$AF17,AG$38:AG$86)</f>
        <v>  (5.0)</v>
      </c>
      <c r="AH17" s="51" t="str">
        <f t="shared" si="72"/>
        <v>  (4.6)</v>
      </c>
      <c r="AI17" s="51" t="str">
        <f t="shared" si="72"/>
        <v>  (4.7)</v>
      </c>
      <c r="AJ17" s="51" t="str">
        <f t="shared" si="72"/>
        <v>  (4.6)</v>
      </c>
      <c r="AK17" s="51" t="str">
        <f t="shared" si="72"/>
        <v>  (4.6)</v>
      </c>
      <c r="AL17" s="51" t="str">
        <f t="shared" si="72"/>
        <v>  (4.6)</v>
      </c>
      <c r="AM17" s="51" t="str">
        <f t="shared" si="72"/>
        <v>  (4.6)</v>
      </c>
      <c r="AN17" s="51" t="str">
        <f t="shared" si="72"/>
        <v>  (4.6)</v>
      </c>
      <c r="AO17" s="51" t="str">
        <f t="shared" si="72"/>
        <v>  (4.6)</v>
      </c>
      <c r="AP17" s="51" t="str">
        <f t="shared" si="72"/>
        <v>  (4.6)</v>
      </c>
      <c r="AQ17" s="51" t="str">
        <f t="shared" si="72"/>
        <v>  (4.6)</v>
      </c>
      <c r="AR17" s="51" t="str">
        <f t="shared" si="72"/>
        <v>  (4.6)</v>
      </c>
      <c r="AS17" s="51" t="str">
        <f t="shared" ref="AS17:AS27" si="79">+SUM(AG17:AR17)</f>
        <v>  (55.9)</v>
      </c>
      <c r="AU17" s="68" t="s">
        <v>39</v>
      </c>
      <c r="AV17" s="51" t="str">
        <f t="shared" ref="AV17:BG17" si="73">SUMIF($AU$38:$AU$86,$AU17,AV$38:AV$86)</f>
        <v>#REF!</v>
      </c>
      <c r="AW17" s="51" t="str">
        <f t="shared" si="73"/>
        <v>#REF!</v>
      </c>
      <c r="AX17" s="51" t="str">
        <f t="shared" si="73"/>
        <v>#REF!</v>
      </c>
      <c r="AY17" s="51" t="str">
        <f t="shared" si="73"/>
        <v>#REF!</v>
      </c>
      <c r="AZ17" s="51" t="str">
        <f t="shared" si="73"/>
        <v>  (4.3)</v>
      </c>
      <c r="BA17" s="51" t="str">
        <f t="shared" si="73"/>
        <v>  (4.3)</v>
      </c>
      <c r="BB17" s="51" t="str">
        <f t="shared" si="73"/>
        <v>  (4.2)</v>
      </c>
      <c r="BC17" s="51" t="str">
        <f t="shared" si="73"/>
        <v>  (4.2)</v>
      </c>
      <c r="BD17" s="51" t="str">
        <f t="shared" si="73"/>
        <v>  (4.2)</v>
      </c>
      <c r="BE17" s="51" t="str">
        <f t="shared" si="73"/>
        <v>  (4.2)</v>
      </c>
      <c r="BF17" s="51" t="str">
        <f t="shared" si="73"/>
        <v>  (4.2)</v>
      </c>
      <c r="BG17" s="51" t="str">
        <f t="shared" si="73"/>
        <v>  (4.2)</v>
      </c>
      <c r="BH17" s="51" t="str">
        <f t="shared" ref="BH17:BH27" si="81">+SUM(AV17:BG17)</f>
        <v>#REF!</v>
      </c>
      <c r="BK17" s="53" t="str">
        <f t="shared" ref="BK17:BK27" si="82">VLOOKUP(BQ17,$Q$5:$AD$29,14,0)</f>
        <v>  (57.4)</v>
      </c>
      <c r="BL17" s="54" t="str">
        <f t="shared" si="14"/>
        <v>(7%)</v>
      </c>
      <c r="BM17" s="53" t="str">
        <f t="shared" ref="BM17:BM27" si="83">VLOOKUP(BQ17,$AF$5:$AS$29,14,0)</f>
        <v>  (55.9)</v>
      </c>
      <c r="BN17" s="54" t="str">
        <f t="shared" si="16"/>
        <v>(10%)</v>
      </c>
      <c r="BO17" s="55" t="str">
        <f t="shared" ref="BO17:BO27" si="84">VLOOKUP(BQ17,$AU$5:$BH$29,14,0)</f>
        <v>#REF!</v>
      </c>
      <c r="BP17" s="56" t="str">
        <f t="shared" si="18"/>
        <v>0%</v>
      </c>
      <c r="BQ17" s="57" t="s">
        <v>39</v>
      </c>
      <c r="BR17" s="58" t="str">
        <f t="shared" si="19"/>
        <v>#REF!</v>
      </c>
      <c r="BS17" s="54" t="str">
        <f t="shared" si="20"/>
        <v>#REF!</v>
      </c>
      <c r="BT17" s="58" t="str">
        <f t="shared" si="21"/>
        <v>#REF!</v>
      </c>
      <c r="BU17" s="54" t="str">
        <f t="shared" si="22"/>
        <v>#REF!</v>
      </c>
    </row>
    <row r="18">
      <c r="B18" s="68" t="s">
        <v>66</v>
      </c>
      <c r="C18" s="51" t="str">
        <f t="shared" ref="C18:N18" si="74">SUMIF($B$38:$B$86,$B18,C$38:C$86)</f>
        <v>  (0.2)</v>
      </c>
      <c r="D18" s="51" t="str">
        <f t="shared" si="74"/>
        <v>  (0.2)</v>
      </c>
      <c r="E18" s="51" t="str">
        <f t="shared" si="74"/>
        <v>  (0.3)</v>
      </c>
      <c r="F18" s="51" t="str">
        <f t="shared" si="74"/>
        <v>  (0.3)</v>
      </c>
      <c r="G18" s="51" t="str">
        <f t="shared" si="74"/>
        <v>  (0.2)</v>
      </c>
      <c r="H18" s="51" t="str">
        <f t="shared" si="74"/>
        <v>  (0.2)</v>
      </c>
      <c r="I18" s="51" t="str">
        <f t="shared" si="74"/>
        <v>  (0.2)</v>
      </c>
      <c r="J18" s="51" t="str">
        <f t="shared" si="74"/>
        <v>  (0.2)</v>
      </c>
      <c r="K18" s="51" t="str">
        <f t="shared" si="74"/>
        <v>  (0.2)</v>
      </c>
      <c r="L18" s="51" t="str">
        <f t="shared" si="74"/>
        <v>  (0.1)</v>
      </c>
      <c r="M18" s="51" t="str">
        <f t="shared" si="74"/>
        <v>  (0.1)</v>
      </c>
      <c r="N18" s="51" t="str">
        <f t="shared" si="74"/>
        <v>  (0.1)</v>
      </c>
      <c r="O18" s="51" t="str">
        <f t="shared" si="75"/>
        <v>  (2.5)</v>
      </c>
      <c r="Q18" s="68" t="s">
        <v>66</v>
      </c>
      <c r="R18" s="51" t="str">
        <f t="shared" ref="R18:AC18" si="76">SUMIF($Q$38:$Q$86,$Q18,R$38:R$86)</f>
        <v>  (0.3)</v>
      </c>
      <c r="S18" s="51" t="str">
        <f t="shared" si="76"/>
        <v>  (0.2)</v>
      </c>
      <c r="T18" s="51" t="str">
        <f t="shared" si="76"/>
        <v>  (0.3)</v>
      </c>
      <c r="U18" s="51" t="str">
        <f t="shared" si="76"/>
        <v>  (0.2)</v>
      </c>
      <c r="V18" s="51" t="str">
        <f t="shared" si="76"/>
        <v>  (0.3)</v>
      </c>
      <c r="W18" s="51" t="str">
        <f t="shared" si="76"/>
        <v>  (0.2)</v>
      </c>
      <c r="X18" s="51" t="str">
        <f t="shared" si="76"/>
        <v>  (0.2)</v>
      </c>
      <c r="Y18" s="51" t="str">
        <f t="shared" si="76"/>
        <v>  (0.3)</v>
      </c>
      <c r="Z18" s="51" t="str">
        <f t="shared" si="76"/>
        <v>  (0.2)</v>
      </c>
      <c r="AA18" s="51" t="str">
        <f t="shared" si="76"/>
        <v>  (0.2)</v>
      </c>
      <c r="AB18" s="51" t="str">
        <f t="shared" si="76"/>
        <v>  (0.2)</v>
      </c>
      <c r="AC18" s="51" t="str">
        <f t="shared" si="76"/>
        <v>  (0.2)</v>
      </c>
      <c r="AD18" s="51" t="str">
        <f t="shared" si="77"/>
        <v>  (2.9)</v>
      </c>
      <c r="AF18" s="68" t="s">
        <v>66</v>
      </c>
      <c r="AG18" s="51" t="str">
        <f t="shared" ref="AG18:AR18" si="78">SUMIF($AF$38:$AF$86,$AF18,AG$38:AG$86)</f>
        <v>  (0.2)</v>
      </c>
      <c r="AH18" s="51" t="str">
        <f t="shared" si="78"/>
        <v>  (0.2)</v>
      </c>
      <c r="AI18" s="51" t="str">
        <f t="shared" si="78"/>
        <v>  (0.2)</v>
      </c>
      <c r="AJ18" s="51" t="str">
        <f t="shared" si="78"/>
        <v>  (0.2)</v>
      </c>
      <c r="AK18" s="51" t="str">
        <f t="shared" si="78"/>
        <v>  (0.2)</v>
      </c>
      <c r="AL18" s="51" t="str">
        <f t="shared" si="78"/>
        <v>  (0.2)</v>
      </c>
      <c r="AM18" s="51" t="str">
        <f t="shared" si="78"/>
        <v>  (0.2)</v>
      </c>
      <c r="AN18" s="51" t="str">
        <f t="shared" si="78"/>
        <v>  (0.2)</v>
      </c>
      <c r="AO18" s="51" t="str">
        <f t="shared" si="78"/>
        <v>  (0.2)</v>
      </c>
      <c r="AP18" s="51" t="str">
        <f t="shared" si="78"/>
        <v>  (0.2)</v>
      </c>
      <c r="AQ18" s="51" t="str">
        <f t="shared" si="78"/>
        <v>  (0.2)</v>
      </c>
      <c r="AR18" s="51" t="str">
        <f t="shared" si="78"/>
        <v>  (0.2)</v>
      </c>
      <c r="AS18" s="51" t="str">
        <f t="shared" si="79"/>
        <v>  (2.8)</v>
      </c>
      <c r="AU18" s="68" t="s">
        <v>66</v>
      </c>
      <c r="AV18" s="51" t="str">
        <f t="shared" ref="AV18:BG18" si="80">SUMIF($AU$38:$AU$86,$AU18,AV$38:AV$86)</f>
        <v>#REF!</v>
      </c>
      <c r="AW18" s="51" t="str">
        <f t="shared" si="80"/>
        <v>#REF!</v>
      </c>
      <c r="AX18" s="51" t="str">
        <f t="shared" si="80"/>
        <v>#REF!</v>
      </c>
      <c r="AY18" s="51" t="str">
        <f t="shared" si="80"/>
        <v>#REF!</v>
      </c>
      <c r="AZ18" s="51" t="str">
        <f t="shared" si="80"/>
        <v>  -   </v>
      </c>
      <c r="BA18" s="51" t="str">
        <f t="shared" si="80"/>
        <v>  -   </v>
      </c>
      <c r="BB18" s="51" t="str">
        <f t="shared" si="80"/>
        <v>  -   </v>
      </c>
      <c r="BC18" s="51" t="str">
        <f t="shared" si="80"/>
        <v>  -   </v>
      </c>
      <c r="BD18" s="51" t="str">
        <f t="shared" si="80"/>
        <v>  -   </v>
      </c>
      <c r="BE18" s="51" t="str">
        <f t="shared" si="80"/>
        <v>  -   </v>
      </c>
      <c r="BF18" s="51" t="str">
        <f t="shared" si="80"/>
        <v>  -   </v>
      </c>
      <c r="BG18" s="51" t="str">
        <f t="shared" si="80"/>
        <v>  -   </v>
      </c>
      <c r="BH18" s="51" t="str">
        <f t="shared" si="81"/>
        <v>#REF!</v>
      </c>
      <c r="BK18" s="53" t="str">
        <f t="shared" si="82"/>
        <v>  (2.9)</v>
      </c>
      <c r="BL18" s="54" t="str">
        <f t="shared" si="14"/>
        <v>(0%)</v>
      </c>
      <c r="BM18" s="53" t="str">
        <f t="shared" si="83"/>
        <v>  (2.8)</v>
      </c>
      <c r="BN18" s="54" t="str">
        <f t="shared" si="16"/>
        <v>(0%)</v>
      </c>
      <c r="BO18" s="55" t="str">
        <f t="shared" si="84"/>
        <v>#REF!</v>
      </c>
      <c r="BP18" s="56" t="str">
        <f t="shared" si="18"/>
        <v>0%</v>
      </c>
      <c r="BQ18" s="57" t="s">
        <v>66</v>
      </c>
      <c r="BR18" s="58" t="str">
        <f t="shared" si="19"/>
        <v>#REF!</v>
      </c>
      <c r="BS18" s="54" t="str">
        <f t="shared" si="20"/>
        <v>#REF!</v>
      </c>
      <c r="BT18" s="58" t="str">
        <f t="shared" si="21"/>
        <v>#REF!</v>
      </c>
      <c r="BU18" s="54" t="str">
        <f t="shared" si="22"/>
        <v>#REF!</v>
      </c>
    </row>
    <row r="19">
      <c r="B19" s="68" t="s">
        <v>41</v>
      </c>
      <c r="C19" s="51" t="str">
        <f t="shared" ref="C19:N19" si="85">SUMIF($B$38:$B$86,$B19,C$38:C$86)</f>
        <v>  (0.7)</v>
      </c>
      <c r="D19" s="51" t="str">
        <f t="shared" si="85"/>
        <v>  (0.7)</v>
      </c>
      <c r="E19" s="51" t="str">
        <f t="shared" si="85"/>
        <v>  (0.8)</v>
      </c>
      <c r="F19" s="51" t="str">
        <f t="shared" si="85"/>
        <v>  (1.1)</v>
      </c>
      <c r="G19" s="51" t="str">
        <f t="shared" si="85"/>
        <v>  (0.7)</v>
      </c>
      <c r="H19" s="51" t="str">
        <f t="shared" si="85"/>
        <v>  (0.7)</v>
      </c>
      <c r="I19" s="51" t="str">
        <f t="shared" si="85"/>
        <v>  (1.1)</v>
      </c>
      <c r="J19" s="51" t="str">
        <f t="shared" si="85"/>
        <v>  (0.9)</v>
      </c>
      <c r="K19" s="51" t="str">
        <f t="shared" si="85"/>
        <v>  (1.1)</v>
      </c>
      <c r="L19" s="51" t="str">
        <f t="shared" si="85"/>
        <v>  (1.4)</v>
      </c>
      <c r="M19" s="51" t="str">
        <f t="shared" si="85"/>
        <v>  (2.0)</v>
      </c>
      <c r="N19" s="51" t="str">
        <f t="shared" si="85"/>
        <v>  (1.6)</v>
      </c>
      <c r="O19" s="51" t="str">
        <f t="shared" si="75"/>
        <v>  (12.7)</v>
      </c>
      <c r="Q19" s="68" t="s">
        <v>41</v>
      </c>
      <c r="R19" s="51" t="str">
        <f t="shared" ref="R19:AC19" si="86">SUMIF($Q$38:$Q$86,$Q19,R$38:R$86)</f>
        <v>  (0.9)</v>
      </c>
      <c r="S19" s="51" t="str">
        <f t="shared" si="86"/>
        <v>  (1.5)</v>
      </c>
      <c r="T19" s="51" t="str">
        <f t="shared" si="86"/>
        <v>  (1.4)</v>
      </c>
      <c r="U19" s="51" t="str">
        <f t="shared" si="86"/>
        <v>  (1.4)</v>
      </c>
      <c r="V19" s="51" t="str">
        <f t="shared" si="86"/>
        <v>  (1.5)</v>
      </c>
      <c r="W19" s="51" t="str">
        <f t="shared" si="86"/>
        <v>  (1.5)</v>
      </c>
      <c r="X19" s="51" t="str">
        <f t="shared" si="86"/>
        <v>  (1.0)</v>
      </c>
      <c r="Y19" s="51" t="str">
        <f t="shared" si="86"/>
        <v>  (1.2)</v>
      </c>
      <c r="Z19" s="51" t="str">
        <f t="shared" si="86"/>
        <v>  (1.0)</v>
      </c>
      <c r="AA19" s="51" t="str">
        <f t="shared" si="86"/>
        <v>  (0.7)</v>
      </c>
      <c r="AB19" s="51" t="str">
        <f t="shared" si="86"/>
        <v>  (0.8)</v>
      </c>
      <c r="AC19" s="51" t="str">
        <f t="shared" si="86"/>
        <v>  (1.0)</v>
      </c>
      <c r="AD19" s="51" t="str">
        <f t="shared" si="77"/>
        <v>  (14.0)</v>
      </c>
      <c r="AF19" s="68" t="s">
        <v>41</v>
      </c>
      <c r="AG19" s="51" t="str">
        <f t="shared" ref="AG19:AR19" si="87">SUMIF($AF$38:$AF$86,$AF19,AG$38:AG$86)</f>
        <v>  (0.7)</v>
      </c>
      <c r="AH19" s="51" t="str">
        <f t="shared" si="87"/>
        <v>  (1.2)</v>
      </c>
      <c r="AI19" s="51" t="str">
        <f t="shared" si="87"/>
        <v>  (0.2)</v>
      </c>
      <c r="AJ19" s="51" t="str">
        <f t="shared" si="87"/>
        <v>  (0.5)</v>
      </c>
      <c r="AK19" s="51" t="str">
        <f t="shared" si="87"/>
        <v>  (0.5)</v>
      </c>
      <c r="AL19" s="51" t="str">
        <f t="shared" si="87"/>
        <v>  (0.5)</v>
      </c>
      <c r="AM19" s="51" t="str">
        <f t="shared" si="87"/>
        <v>  (0.3)</v>
      </c>
      <c r="AN19" s="51" t="str">
        <f t="shared" si="87"/>
        <v>  (0.4)</v>
      </c>
      <c r="AO19" s="51" t="str">
        <f t="shared" si="87"/>
        <v>  (0.3)</v>
      </c>
      <c r="AP19" s="51" t="str">
        <f t="shared" si="87"/>
        <v>  (0.3)</v>
      </c>
      <c r="AQ19" s="51" t="str">
        <f t="shared" si="87"/>
        <v>  (0.3)</v>
      </c>
      <c r="AR19" s="51" t="str">
        <f t="shared" si="87"/>
        <v>  (0.3)</v>
      </c>
      <c r="AS19" s="51" t="str">
        <f t="shared" si="79"/>
        <v>  (5.6)</v>
      </c>
      <c r="AU19" s="68" t="s">
        <v>41</v>
      </c>
      <c r="AV19" s="51" t="str">
        <f t="shared" ref="AV19:BG19" si="88">SUMIF($AU$38:$AU$86,$AU19,AV$38:AV$86)</f>
        <v>#REF!</v>
      </c>
      <c r="AW19" s="51" t="str">
        <f t="shared" si="88"/>
        <v>#REF!</v>
      </c>
      <c r="AX19" s="51" t="str">
        <f t="shared" si="88"/>
        <v>#REF!</v>
      </c>
      <c r="AY19" s="51" t="str">
        <f t="shared" si="88"/>
        <v>#REF!</v>
      </c>
      <c r="AZ19" s="51" t="str">
        <f t="shared" si="88"/>
        <v>  (0.5)</v>
      </c>
      <c r="BA19" s="51" t="str">
        <f t="shared" si="88"/>
        <v>  (0.5)</v>
      </c>
      <c r="BB19" s="51" t="str">
        <f t="shared" si="88"/>
        <v>  (0.3)</v>
      </c>
      <c r="BC19" s="51" t="str">
        <f t="shared" si="88"/>
        <v>  (0.4)</v>
      </c>
      <c r="BD19" s="51" t="str">
        <f t="shared" si="88"/>
        <v>  (0.3)</v>
      </c>
      <c r="BE19" s="51" t="str">
        <f t="shared" si="88"/>
        <v>  (0.3)</v>
      </c>
      <c r="BF19" s="51" t="str">
        <f t="shared" si="88"/>
        <v>  (0.3)</v>
      </c>
      <c r="BG19" s="51" t="str">
        <f t="shared" si="88"/>
        <v>  (0.3)</v>
      </c>
      <c r="BH19" s="51" t="str">
        <f t="shared" si="81"/>
        <v>#REF!</v>
      </c>
      <c r="BK19" s="53" t="str">
        <f t="shared" si="82"/>
        <v>  (14.0)</v>
      </c>
      <c r="BL19" s="54" t="str">
        <f t="shared" si="14"/>
        <v>(2%)</v>
      </c>
      <c r="BM19" s="53" t="str">
        <f t="shared" si="83"/>
        <v>  (5.6)</v>
      </c>
      <c r="BN19" s="54" t="str">
        <f t="shared" si="16"/>
        <v>(1%)</v>
      </c>
      <c r="BO19" s="55" t="str">
        <f t="shared" si="84"/>
        <v>#REF!</v>
      </c>
      <c r="BP19" s="56" t="str">
        <f t="shared" si="18"/>
        <v>0%</v>
      </c>
      <c r="BQ19" s="57" t="s">
        <v>41</v>
      </c>
      <c r="BR19" s="58" t="str">
        <f t="shared" si="19"/>
        <v>#REF!</v>
      </c>
      <c r="BS19" s="54" t="str">
        <f t="shared" si="20"/>
        <v>#REF!</v>
      </c>
      <c r="BT19" s="58" t="str">
        <f t="shared" si="21"/>
        <v>#REF!</v>
      </c>
      <c r="BU19" s="54" t="str">
        <f t="shared" si="22"/>
        <v>#REF!</v>
      </c>
    </row>
    <row r="20">
      <c r="B20" s="68" t="s">
        <v>43</v>
      </c>
      <c r="C20" s="51" t="str">
        <f t="shared" ref="C20:N20" si="89">SUMIF($B$38:$B$86,$B20,C$38:C$86)</f>
        <v>  -   </v>
      </c>
      <c r="D20" s="51" t="str">
        <f t="shared" si="89"/>
        <v>  -   </v>
      </c>
      <c r="E20" s="51" t="str">
        <f t="shared" si="89"/>
        <v>  (0.2)</v>
      </c>
      <c r="F20" s="51" t="str">
        <f t="shared" si="89"/>
        <v>  (0.1)</v>
      </c>
      <c r="G20" s="51" t="str">
        <f t="shared" si="89"/>
        <v>  (0.0)</v>
      </c>
      <c r="H20" s="51" t="str">
        <f t="shared" si="89"/>
        <v>  (0.0)</v>
      </c>
      <c r="I20" s="51" t="str">
        <f t="shared" si="89"/>
        <v>  (0.1)</v>
      </c>
      <c r="J20" s="51" t="str">
        <f t="shared" si="89"/>
        <v>  (0.1)</v>
      </c>
      <c r="K20" s="51" t="str">
        <f t="shared" si="89"/>
        <v>  (0.1)</v>
      </c>
      <c r="L20" s="51" t="str">
        <f t="shared" si="89"/>
        <v>  (0.1)</v>
      </c>
      <c r="M20" s="51" t="str">
        <f t="shared" si="89"/>
        <v>  (0.1)</v>
      </c>
      <c r="N20" s="51" t="str">
        <f t="shared" si="89"/>
        <v>  (0.0)</v>
      </c>
      <c r="O20" s="51" t="str">
        <f t="shared" si="75"/>
        <v>  (0.6)</v>
      </c>
      <c r="Q20" s="68" t="s">
        <v>43</v>
      </c>
      <c r="R20" s="51" t="str">
        <f t="shared" ref="R20:AC20" si="90">SUMIF($Q$38:$Q$86,$Q20,R$38:R$86)</f>
        <v>  (0.2)</v>
      </c>
      <c r="S20" s="51" t="str">
        <f t="shared" si="90"/>
        <v>  (0.3)</v>
      </c>
      <c r="T20" s="51" t="str">
        <f t="shared" si="90"/>
        <v>  (0.3)</v>
      </c>
      <c r="U20" s="51" t="str">
        <f t="shared" si="90"/>
        <v>  (0.3)</v>
      </c>
      <c r="V20" s="51" t="str">
        <f t="shared" si="90"/>
        <v>  (0.1)</v>
      </c>
      <c r="W20" s="51" t="str">
        <f t="shared" si="90"/>
        <v>  (0.1)</v>
      </c>
      <c r="X20" s="51" t="str">
        <f t="shared" si="90"/>
        <v>  (0.1)</v>
      </c>
      <c r="Y20" s="51" t="str">
        <f t="shared" si="90"/>
        <v>  (0.2)</v>
      </c>
      <c r="Z20" s="51" t="str">
        <f t="shared" si="90"/>
        <v>  (0.2)</v>
      </c>
      <c r="AA20" s="51" t="str">
        <f t="shared" si="90"/>
        <v>  (0.1)</v>
      </c>
      <c r="AB20" s="51" t="str">
        <f t="shared" si="90"/>
        <v>  (0.1)</v>
      </c>
      <c r="AC20" s="51" t="str">
        <f t="shared" si="90"/>
        <v>  (0.2)</v>
      </c>
      <c r="AD20" s="51" t="str">
        <f t="shared" si="77"/>
        <v>  (2.2)</v>
      </c>
      <c r="AF20" s="68" t="s">
        <v>43</v>
      </c>
      <c r="AG20" s="51" t="str">
        <f t="shared" ref="AG20:AR20" si="91">SUMIF($AF$38:$AF$86,$AF20,AG$38:AG$86)</f>
        <v>  (0.2)</v>
      </c>
      <c r="AH20" s="51" t="str">
        <f t="shared" si="91"/>
        <v>  (0.2)</v>
      </c>
      <c r="AI20" s="51" t="str">
        <f t="shared" si="91"/>
        <v>  (0.6)</v>
      </c>
      <c r="AJ20" s="51" t="str">
        <f t="shared" si="91"/>
        <v>  (0.2)</v>
      </c>
      <c r="AK20" s="51" t="str">
        <f t="shared" si="91"/>
        <v>  (0.1)</v>
      </c>
      <c r="AL20" s="51" t="str">
        <f t="shared" si="91"/>
        <v>  (0.1)</v>
      </c>
      <c r="AM20" s="51" t="str">
        <f t="shared" si="91"/>
        <v>  (0.1)</v>
      </c>
      <c r="AN20" s="51" t="str">
        <f t="shared" si="91"/>
        <v>  (0.1)</v>
      </c>
      <c r="AO20" s="51" t="str">
        <f t="shared" si="91"/>
        <v>  (0.1)</v>
      </c>
      <c r="AP20" s="51" t="str">
        <f t="shared" si="91"/>
        <v>  (0.2)</v>
      </c>
      <c r="AQ20" s="51" t="str">
        <f t="shared" si="91"/>
        <v>  (0.1)</v>
      </c>
      <c r="AR20" s="51" t="str">
        <f t="shared" si="91"/>
        <v>  (0.1)</v>
      </c>
      <c r="AS20" s="51" t="str">
        <f t="shared" si="79"/>
        <v>  (2.3)</v>
      </c>
      <c r="AU20" s="68" t="s">
        <v>43</v>
      </c>
      <c r="AV20" s="51" t="str">
        <f t="shared" ref="AV20:BG20" si="92">SUMIF($AU$38:$AU$86,$AU20,AV$38:AV$86)</f>
        <v>  (0.1)</v>
      </c>
      <c r="AW20" s="51" t="str">
        <f t="shared" si="92"/>
        <v>  (0.1)</v>
      </c>
      <c r="AX20" s="51" t="str">
        <f t="shared" si="92"/>
        <v>  (0.1)</v>
      </c>
      <c r="AY20" s="51" t="str">
        <f t="shared" si="92"/>
        <v>  (0.1)</v>
      </c>
      <c r="AZ20" s="51" t="str">
        <f t="shared" si="92"/>
        <v>  (0.1)</v>
      </c>
      <c r="BA20" s="51" t="str">
        <f t="shared" si="92"/>
        <v>  (0.1)</v>
      </c>
      <c r="BB20" s="51" t="str">
        <f t="shared" si="92"/>
        <v>  (0.1)</v>
      </c>
      <c r="BC20" s="51" t="str">
        <f t="shared" si="92"/>
        <v>  (0.1)</v>
      </c>
      <c r="BD20" s="51" t="str">
        <f t="shared" si="92"/>
        <v>  (0.1)</v>
      </c>
      <c r="BE20" s="51" t="str">
        <f t="shared" si="92"/>
        <v>  (0.2)</v>
      </c>
      <c r="BF20" s="51" t="str">
        <f t="shared" si="92"/>
        <v>  (0.1)</v>
      </c>
      <c r="BG20" s="51" t="str">
        <f t="shared" si="92"/>
        <v>  (0.1)</v>
      </c>
      <c r="BH20" s="51" t="str">
        <f t="shared" si="81"/>
        <v>  (1.5)</v>
      </c>
      <c r="BK20" s="53" t="str">
        <f t="shared" si="82"/>
        <v>  (2.2)</v>
      </c>
      <c r="BL20" s="54" t="str">
        <f t="shared" si="14"/>
        <v>(0%)</v>
      </c>
      <c r="BM20" s="53" t="str">
        <f t="shared" si="83"/>
        <v>  (2.3)</v>
      </c>
      <c r="BN20" s="54" t="str">
        <f t="shared" si="16"/>
        <v>(0%)</v>
      </c>
      <c r="BO20" s="55" t="str">
        <f t="shared" si="84"/>
        <v>  (1.5)</v>
      </c>
      <c r="BP20" s="56" t="str">
        <f t="shared" si="18"/>
        <v>0%</v>
      </c>
      <c r="BQ20" s="57" t="s">
        <v>43</v>
      </c>
      <c r="BR20" s="58" t="str">
        <f t="shared" si="19"/>
        <v>  0.9 </v>
      </c>
      <c r="BS20" s="54" t="str">
        <f t="shared" si="20"/>
        <v>37%</v>
      </c>
      <c r="BT20" s="58" t="str">
        <f t="shared" si="21"/>
        <v>  0.7 </v>
      </c>
      <c r="BU20" s="54" t="str">
        <f t="shared" si="22"/>
        <v>33%</v>
      </c>
    </row>
    <row r="21" ht="15.75" customHeight="1">
      <c r="B21" s="68" t="s">
        <v>67</v>
      </c>
      <c r="C21" s="51" t="str">
        <f t="shared" ref="C21:N21" si="93">SUMIF($B$38:$B$86,$B21,C$38:C$86)</f>
        <v>  (0.3)</v>
      </c>
      <c r="D21" s="51" t="str">
        <f t="shared" si="93"/>
        <v>  (0.3)</v>
      </c>
      <c r="E21" s="51" t="str">
        <f t="shared" si="93"/>
        <v>  (0.3)</v>
      </c>
      <c r="F21" s="51" t="str">
        <f t="shared" si="93"/>
        <v>  (0.3)</v>
      </c>
      <c r="G21" s="51" t="str">
        <f t="shared" si="93"/>
        <v>  (0.3)</v>
      </c>
      <c r="H21" s="51" t="str">
        <f t="shared" si="93"/>
        <v>  (0.3)</v>
      </c>
      <c r="I21" s="51" t="str">
        <f t="shared" si="93"/>
        <v>  (0.3)</v>
      </c>
      <c r="J21" s="51" t="str">
        <f t="shared" si="93"/>
        <v>  (0.3)</v>
      </c>
      <c r="K21" s="51" t="str">
        <f t="shared" si="93"/>
        <v>  (0.3)</v>
      </c>
      <c r="L21" s="51" t="str">
        <f t="shared" si="93"/>
        <v>  (0.3)</v>
      </c>
      <c r="M21" s="51" t="str">
        <f t="shared" si="93"/>
        <v>  (0.3)</v>
      </c>
      <c r="N21" s="51" t="str">
        <f t="shared" si="93"/>
        <v>  (0.4)</v>
      </c>
      <c r="O21" s="51" t="str">
        <f t="shared" si="75"/>
        <v>  (3.8)</v>
      </c>
      <c r="Q21" s="68" t="s">
        <v>67</v>
      </c>
      <c r="R21" s="51" t="str">
        <f t="shared" ref="R21:AC21" si="94">SUMIF($Q$38:$Q$86,$Q21,R$38:R$86)</f>
        <v>  (0.3)</v>
      </c>
      <c r="S21" s="51" t="str">
        <f t="shared" si="94"/>
        <v>  (0.3)</v>
      </c>
      <c r="T21" s="51" t="str">
        <f t="shared" si="94"/>
        <v>  (0.3)</v>
      </c>
      <c r="U21" s="51" t="str">
        <f t="shared" si="94"/>
        <v>  (0.3)</v>
      </c>
      <c r="V21" s="51" t="str">
        <f t="shared" si="94"/>
        <v>  (0.3)</v>
      </c>
      <c r="W21" s="51" t="str">
        <f t="shared" si="94"/>
        <v>  (0.2)</v>
      </c>
      <c r="X21" s="51" t="str">
        <f t="shared" si="94"/>
        <v>  (0.3)</v>
      </c>
      <c r="Y21" s="51" t="str">
        <f t="shared" si="94"/>
        <v>  (0.3)</v>
      </c>
      <c r="Z21" s="51" t="str">
        <f t="shared" si="94"/>
        <v>  (0.3)</v>
      </c>
      <c r="AA21" s="51" t="str">
        <f t="shared" si="94"/>
        <v>  (0.2)</v>
      </c>
      <c r="AB21" s="51" t="str">
        <f t="shared" si="94"/>
        <v>  (0.3)</v>
      </c>
      <c r="AC21" s="51" t="str">
        <f t="shared" si="94"/>
        <v>  (0.3)</v>
      </c>
      <c r="AD21" s="51" t="str">
        <f t="shared" si="77"/>
        <v>  (3.1)</v>
      </c>
      <c r="AF21" s="68" t="s">
        <v>67</v>
      </c>
      <c r="AG21" s="51" t="str">
        <f t="shared" ref="AG21:AR21" si="95">SUMIF($AF$38:$AF$86,$AF21,AG$38:AG$86)</f>
        <v>  (0.2)</v>
      </c>
      <c r="AH21" s="51" t="str">
        <f t="shared" si="95"/>
        <v>  (0.1)</v>
      </c>
      <c r="AI21" s="51" t="str">
        <f t="shared" si="95"/>
        <v>  (0.2)</v>
      </c>
      <c r="AJ21" s="51" t="str">
        <f t="shared" si="95"/>
        <v>  (0.1)</v>
      </c>
      <c r="AK21" s="51" t="str">
        <f t="shared" si="95"/>
        <v>  (0.1)</v>
      </c>
      <c r="AL21" s="51" t="str">
        <f t="shared" si="95"/>
        <v>  (0.2)</v>
      </c>
      <c r="AM21" s="51" t="str">
        <f t="shared" si="95"/>
        <v>  (0.2)</v>
      </c>
      <c r="AN21" s="51" t="str">
        <f t="shared" si="95"/>
        <v>  (0.2)</v>
      </c>
      <c r="AO21" s="51" t="str">
        <f t="shared" si="95"/>
        <v>  (0.3)</v>
      </c>
      <c r="AP21" s="51" t="str">
        <f t="shared" si="95"/>
        <v>  (0.3)</v>
      </c>
      <c r="AQ21" s="51" t="str">
        <f t="shared" si="95"/>
        <v>  (0.2)</v>
      </c>
      <c r="AR21" s="51" t="str">
        <f t="shared" si="95"/>
        <v>  (0.3)</v>
      </c>
      <c r="AS21" s="51" t="str">
        <f t="shared" si="79"/>
        <v>  (2.4)</v>
      </c>
      <c r="AU21" s="68" t="s">
        <v>67</v>
      </c>
      <c r="AV21" s="51" t="str">
        <f t="shared" ref="AV21:BG21" si="96">SUMIF($AU$38:$AU$86,$AU21,AV$38:AV$86)</f>
        <v>#REF!</v>
      </c>
      <c r="AW21" s="51" t="str">
        <f t="shared" si="96"/>
        <v>#REF!</v>
      </c>
      <c r="AX21" s="51" t="str">
        <f t="shared" si="96"/>
        <v>#REF!</v>
      </c>
      <c r="AY21" s="51" t="str">
        <f t="shared" si="96"/>
        <v>#REF!</v>
      </c>
      <c r="AZ21" s="51" t="str">
        <f t="shared" si="96"/>
        <v>  (0.3)</v>
      </c>
      <c r="BA21" s="51" t="str">
        <f t="shared" si="96"/>
        <v>  (0.2)</v>
      </c>
      <c r="BB21" s="51" t="str">
        <f t="shared" si="96"/>
        <v>  (0.2)</v>
      </c>
      <c r="BC21" s="51" t="str">
        <f t="shared" si="96"/>
        <v>  (0.2)</v>
      </c>
      <c r="BD21" s="51" t="str">
        <f t="shared" si="96"/>
        <v>  (0.2)</v>
      </c>
      <c r="BE21" s="51" t="str">
        <f t="shared" si="96"/>
        <v>  (0.2)</v>
      </c>
      <c r="BF21" s="51" t="str">
        <f t="shared" si="96"/>
        <v>  (0.2)</v>
      </c>
      <c r="BG21" s="51" t="str">
        <f t="shared" si="96"/>
        <v>  (0.2)</v>
      </c>
      <c r="BH21" s="51" t="str">
        <f t="shared" si="81"/>
        <v>#REF!</v>
      </c>
      <c r="BK21" s="53" t="str">
        <f t="shared" si="82"/>
        <v>  (3.1)</v>
      </c>
      <c r="BL21" s="54" t="str">
        <f t="shared" si="14"/>
        <v>(0%)</v>
      </c>
      <c r="BM21" s="53" t="str">
        <f t="shared" si="83"/>
        <v>  (2.4)</v>
      </c>
      <c r="BN21" s="54" t="str">
        <f t="shared" si="16"/>
        <v>(0%)</v>
      </c>
      <c r="BO21" s="55" t="str">
        <f t="shared" si="84"/>
        <v>#REF!</v>
      </c>
      <c r="BP21" s="56" t="str">
        <f t="shared" si="18"/>
        <v>0%</v>
      </c>
      <c r="BQ21" s="57" t="s">
        <v>67</v>
      </c>
      <c r="BR21" s="58" t="str">
        <f t="shared" si="19"/>
        <v>#REF!</v>
      </c>
      <c r="BS21" s="54" t="str">
        <f t="shared" si="20"/>
        <v>#REF!</v>
      </c>
      <c r="BT21" s="58" t="str">
        <f t="shared" si="21"/>
        <v>#REF!</v>
      </c>
      <c r="BU21" s="54" t="str">
        <f t="shared" si="22"/>
        <v>#REF!</v>
      </c>
    </row>
    <row r="22" ht="15.75" customHeight="1">
      <c r="B22" s="68" t="s">
        <v>68</v>
      </c>
      <c r="C22" s="51" t="str">
        <f t="shared" ref="C22:N22" si="97">SUMIF($B$38:$B$86,$B22,C$38:C$86)</f>
        <v>  (0.2)</v>
      </c>
      <c r="D22" s="51" t="str">
        <f t="shared" si="97"/>
        <v>  (0.2)</v>
      </c>
      <c r="E22" s="51" t="str">
        <f t="shared" si="97"/>
        <v>  (0.2)</v>
      </c>
      <c r="F22" s="51" t="str">
        <f t="shared" si="97"/>
        <v>  (0.2)</v>
      </c>
      <c r="G22" s="51" t="str">
        <f t="shared" si="97"/>
        <v>  (0.2)</v>
      </c>
      <c r="H22" s="51" t="str">
        <f t="shared" si="97"/>
        <v>  (0.2)</v>
      </c>
      <c r="I22" s="51" t="str">
        <f t="shared" si="97"/>
        <v>  (0.1)</v>
      </c>
      <c r="J22" s="51" t="str">
        <f t="shared" si="97"/>
        <v>  (0.2)</v>
      </c>
      <c r="K22" s="51" t="str">
        <f t="shared" si="97"/>
        <v>  (0.1)</v>
      </c>
      <c r="L22" s="51" t="str">
        <f t="shared" si="97"/>
        <v>  (0.1)</v>
      </c>
      <c r="M22" s="51" t="str">
        <f t="shared" si="97"/>
        <v>  (0.1)</v>
      </c>
      <c r="N22" s="51" t="str">
        <f t="shared" si="97"/>
        <v>  (0.1)</v>
      </c>
      <c r="O22" s="51" t="str">
        <f t="shared" si="75"/>
        <v>  (2.0)</v>
      </c>
      <c r="Q22" s="68" t="s">
        <v>68</v>
      </c>
      <c r="R22" s="51" t="str">
        <f t="shared" ref="R22:AC22" si="98">SUMIF($Q$38:$Q$86,$Q22,R$38:R$86)</f>
        <v>  (0.1)</v>
      </c>
      <c r="S22" s="51" t="str">
        <f t="shared" si="98"/>
        <v>  (0.2)</v>
      </c>
      <c r="T22" s="51" t="str">
        <f t="shared" si="98"/>
        <v>  (0.2)</v>
      </c>
      <c r="U22" s="51" t="str">
        <f t="shared" si="98"/>
        <v>  (0.2)</v>
      </c>
      <c r="V22" s="51" t="str">
        <f t="shared" si="98"/>
        <v>  (0.1)</v>
      </c>
      <c r="W22" s="51" t="str">
        <f t="shared" si="98"/>
        <v>  (0.3)</v>
      </c>
      <c r="X22" s="51" t="str">
        <f t="shared" si="98"/>
        <v>  (0.1)</v>
      </c>
      <c r="Y22" s="51" t="str">
        <f t="shared" si="98"/>
        <v>  (0.3)</v>
      </c>
      <c r="Z22" s="51" t="str">
        <f t="shared" si="98"/>
        <v>  (0.3)</v>
      </c>
      <c r="AA22" s="51" t="str">
        <f t="shared" si="98"/>
        <v>  (0.3)</v>
      </c>
      <c r="AB22" s="51" t="str">
        <f t="shared" si="98"/>
        <v>  (0.2)</v>
      </c>
      <c r="AC22" s="51" t="str">
        <f t="shared" si="98"/>
        <v>  (0.3)</v>
      </c>
      <c r="AD22" s="51" t="str">
        <f t="shared" si="77"/>
        <v>  (2.4)</v>
      </c>
      <c r="AF22" s="68" t="s">
        <v>68</v>
      </c>
      <c r="AG22" s="51" t="str">
        <f t="shared" ref="AG22:AR22" si="99">SUMIF($AF$38:$AF$86,$AF22,AG$38:AG$86)</f>
        <v>  (0.1)</v>
      </c>
      <c r="AH22" s="51" t="str">
        <f t="shared" si="99"/>
        <v>  (0.1)</v>
      </c>
      <c r="AI22" s="51" t="str">
        <f t="shared" si="99"/>
        <v>  (0.1)</v>
      </c>
      <c r="AJ22" s="51" t="str">
        <f t="shared" si="99"/>
        <v>  (0.1)</v>
      </c>
      <c r="AK22" s="51" t="str">
        <f t="shared" si="99"/>
        <v>  (0.1)</v>
      </c>
      <c r="AL22" s="51" t="str">
        <f t="shared" si="99"/>
        <v>  (0.1)</v>
      </c>
      <c r="AM22" s="51" t="str">
        <f t="shared" si="99"/>
        <v>  (0.1)</v>
      </c>
      <c r="AN22" s="51" t="str">
        <f t="shared" si="99"/>
        <v>  (0.1)</v>
      </c>
      <c r="AO22" s="51" t="str">
        <f t="shared" si="99"/>
        <v>  (0.1)</v>
      </c>
      <c r="AP22" s="51" t="str">
        <f t="shared" si="99"/>
        <v>  (0.1)</v>
      </c>
      <c r="AQ22" s="51" t="str">
        <f t="shared" si="99"/>
        <v>  (0.1)</v>
      </c>
      <c r="AR22" s="51" t="str">
        <f t="shared" si="99"/>
        <v>  (0.1)</v>
      </c>
      <c r="AS22" s="51" t="str">
        <f t="shared" si="79"/>
        <v>  (1.2)</v>
      </c>
      <c r="AU22" s="68" t="s">
        <v>68</v>
      </c>
      <c r="AV22" s="51" t="str">
        <f t="shared" ref="AV22:BG22" si="100">SUMIF($AU$38:$AU$86,$AU22,AV$38:AV$86)</f>
        <v>#REF!</v>
      </c>
      <c r="AW22" s="51" t="str">
        <f t="shared" si="100"/>
        <v>#REF!</v>
      </c>
      <c r="AX22" s="51" t="str">
        <f t="shared" si="100"/>
        <v>#REF!</v>
      </c>
      <c r="AY22" s="51" t="str">
        <f t="shared" si="100"/>
        <v>#REF!</v>
      </c>
      <c r="AZ22" s="51" t="str">
        <f t="shared" si="100"/>
        <v>  (0.0)</v>
      </c>
      <c r="BA22" s="51" t="str">
        <f t="shared" si="100"/>
        <v>  (0.0)</v>
      </c>
      <c r="BB22" s="51" t="str">
        <f t="shared" si="100"/>
        <v>  (0.0)</v>
      </c>
      <c r="BC22" s="51" t="str">
        <f t="shared" si="100"/>
        <v>  (0.0)</v>
      </c>
      <c r="BD22" s="51" t="str">
        <f t="shared" si="100"/>
        <v>  (0.0)</v>
      </c>
      <c r="BE22" s="51" t="str">
        <f t="shared" si="100"/>
        <v>  (0.0)</v>
      </c>
      <c r="BF22" s="51" t="str">
        <f t="shared" si="100"/>
        <v>  (0.1)</v>
      </c>
      <c r="BG22" s="51" t="str">
        <f t="shared" si="100"/>
        <v>  (0.0)</v>
      </c>
      <c r="BH22" s="51" t="str">
        <f t="shared" si="81"/>
        <v>#REF!</v>
      </c>
      <c r="BK22" s="53" t="str">
        <f t="shared" si="82"/>
        <v>  (2.4)</v>
      </c>
      <c r="BL22" s="54" t="str">
        <f t="shared" si="14"/>
        <v>(0%)</v>
      </c>
      <c r="BM22" s="53" t="str">
        <f t="shared" si="83"/>
        <v>  (1.2)</v>
      </c>
      <c r="BN22" s="54" t="str">
        <f t="shared" si="16"/>
        <v>(0%)</v>
      </c>
      <c r="BO22" s="55" t="str">
        <f t="shared" si="84"/>
        <v>#REF!</v>
      </c>
      <c r="BP22" s="56" t="str">
        <f t="shared" si="18"/>
        <v>0%</v>
      </c>
      <c r="BQ22" s="57" t="s">
        <v>68</v>
      </c>
      <c r="BR22" s="58" t="str">
        <f t="shared" si="19"/>
        <v>#REF!</v>
      </c>
      <c r="BS22" s="54" t="str">
        <f t="shared" si="20"/>
        <v>#REF!</v>
      </c>
      <c r="BT22" s="58" t="str">
        <f t="shared" si="21"/>
        <v>#REF!</v>
      </c>
      <c r="BU22" s="54" t="str">
        <f t="shared" si="22"/>
        <v>#REF!</v>
      </c>
    </row>
    <row r="23" ht="15.75" customHeight="1">
      <c r="B23" s="68" t="s">
        <v>44</v>
      </c>
      <c r="C23" s="51" t="str">
        <f t="shared" ref="C23:N23" si="101">SUMIF($B$38:$B$86,$B23,C$38:C$86)</f>
        <v>  (0.5)</v>
      </c>
      <c r="D23" s="51" t="str">
        <f t="shared" si="101"/>
        <v>  (0.5)</v>
      </c>
      <c r="E23" s="51" t="str">
        <f t="shared" si="101"/>
        <v>  (0.5)</v>
      </c>
      <c r="F23" s="51" t="str">
        <f t="shared" si="101"/>
        <v>  (0.4)</v>
      </c>
      <c r="G23" s="51" t="str">
        <f t="shared" si="101"/>
        <v>  (0.4)</v>
      </c>
      <c r="H23" s="51" t="str">
        <f t="shared" si="101"/>
        <v>  (0.4)</v>
      </c>
      <c r="I23" s="51" t="str">
        <f t="shared" si="101"/>
        <v>  (0.4)</v>
      </c>
      <c r="J23" s="51" t="str">
        <f t="shared" si="101"/>
        <v>  (0.4)</v>
      </c>
      <c r="K23" s="51" t="str">
        <f t="shared" si="101"/>
        <v>  (0.4)</v>
      </c>
      <c r="L23" s="51" t="str">
        <f t="shared" si="101"/>
        <v>  (0.5)</v>
      </c>
      <c r="M23" s="51" t="str">
        <f t="shared" si="101"/>
        <v>  (0.5)</v>
      </c>
      <c r="N23" s="51" t="str">
        <f t="shared" si="101"/>
        <v>  (0.5)</v>
      </c>
      <c r="O23" s="51" t="str">
        <f t="shared" si="75"/>
        <v>  (5.5)</v>
      </c>
      <c r="Q23" s="68" t="s">
        <v>44</v>
      </c>
      <c r="R23" s="51" t="str">
        <f t="shared" ref="R23:AC23" si="102">SUMIF($Q$38:$Q$86,$Q23,R$38:R$86)</f>
        <v>  (0.7)</v>
      </c>
      <c r="S23" s="51" t="str">
        <f t="shared" si="102"/>
        <v>  (0.6)</v>
      </c>
      <c r="T23" s="51" t="str">
        <f t="shared" si="102"/>
        <v>  (0.6)</v>
      </c>
      <c r="U23" s="51" t="str">
        <f t="shared" si="102"/>
        <v>  (0.5)</v>
      </c>
      <c r="V23" s="51" t="str">
        <f t="shared" si="102"/>
        <v>  (0.5)</v>
      </c>
      <c r="W23" s="51" t="str">
        <f t="shared" si="102"/>
        <v>  (0.5)</v>
      </c>
      <c r="X23" s="51" t="str">
        <f t="shared" si="102"/>
        <v>  (0.5)</v>
      </c>
      <c r="Y23" s="51" t="str">
        <f t="shared" si="102"/>
        <v>  (0.6)</v>
      </c>
      <c r="Z23" s="51" t="str">
        <f t="shared" si="102"/>
        <v>  (0.6)</v>
      </c>
      <c r="AA23" s="51" t="str">
        <f t="shared" si="102"/>
        <v>  (0.6)</v>
      </c>
      <c r="AB23" s="51" t="str">
        <f t="shared" si="102"/>
        <v>  (0.6)</v>
      </c>
      <c r="AC23" s="51" t="str">
        <f t="shared" si="102"/>
        <v>  (0.6)</v>
      </c>
      <c r="AD23" s="51" t="str">
        <f t="shared" si="77"/>
        <v>  (6.8)</v>
      </c>
      <c r="AF23" s="68" t="s">
        <v>44</v>
      </c>
      <c r="AG23" s="51" t="str">
        <f t="shared" ref="AG23:AR23" si="103">SUMIF($AF$38:$AF$86,$AF23,AG$38:AG$86)</f>
        <v>  (0.5)</v>
      </c>
      <c r="AH23" s="51" t="str">
        <f t="shared" si="103"/>
        <v>  (0.5)</v>
      </c>
      <c r="AI23" s="51" t="str">
        <f t="shared" si="103"/>
        <v>  (0.5)</v>
      </c>
      <c r="AJ23" s="51" t="str">
        <f t="shared" si="103"/>
        <v>  (0.5)</v>
      </c>
      <c r="AK23" s="51" t="str">
        <f t="shared" si="103"/>
        <v>  (0.5)</v>
      </c>
      <c r="AL23" s="51" t="str">
        <f t="shared" si="103"/>
        <v>  (0.5)</v>
      </c>
      <c r="AM23" s="51" t="str">
        <f t="shared" si="103"/>
        <v>  (0.5)</v>
      </c>
      <c r="AN23" s="51" t="str">
        <f t="shared" si="103"/>
        <v>  (0.5)</v>
      </c>
      <c r="AO23" s="51" t="str">
        <f t="shared" si="103"/>
        <v>  (0.5)</v>
      </c>
      <c r="AP23" s="51" t="str">
        <f t="shared" si="103"/>
        <v>  (0.5)</v>
      </c>
      <c r="AQ23" s="51" t="str">
        <f t="shared" si="103"/>
        <v>  (0.5)</v>
      </c>
      <c r="AR23" s="51" t="str">
        <f t="shared" si="103"/>
        <v>  (0.5)</v>
      </c>
      <c r="AS23" s="51" t="str">
        <f t="shared" si="79"/>
        <v>  (5.9)</v>
      </c>
      <c r="AU23" s="68" t="s">
        <v>44</v>
      </c>
      <c r="AV23" s="51" t="str">
        <f t="shared" ref="AV23:BG23" si="104">SUMIF($AU$38:$AU$86,$AU23,AV$38:AV$86)</f>
        <v>#REF!</v>
      </c>
      <c r="AW23" s="51" t="str">
        <f t="shared" si="104"/>
        <v>#REF!</v>
      </c>
      <c r="AX23" s="51" t="str">
        <f t="shared" si="104"/>
        <v>#REF!</v>
      </c>
      <c r="AY23" s="51" t="str">
        <f t="shared" si="104"/>
        <v>#REF!</v>
      </c>
      <c r="AZ23" s="51" t="str">
        <f t="shared" si="104"/>
        <v>#ERROR!</v>
      </c>
      <c r="BA23" s="51" t="str">
        <f t="shared" si="104"/>
        <v>#ERROR!</v>
      </c>
      <c r="BB23" s="51" t="str">
        <f t="shared" si="104"/>
        <v>#ERROR!</v>
      </c>
      <c r="BC23" s="51" t="str">
        <f t="shared" si="104"/>
        <v>#ERROR!</v>
      </c>
      <c r="BD23" s="51" t="str">
        <f t="shared" si="104"/>
        <v>#ERROR!</v>
      </c>
      <c r="BE23" s="51" t="str">
        <f t="shared" si="104"/>
        <v>#ERROR!</v>
      </c>
      <c r="BF23" s="51" t="str">
        <f t="shared" si="104"/>
        <v>#ERROR!</v>
      </c>
      <c r="BG23" s="51" t="str">
        <f t="shared" si="104"/>
        <v>#ERROR!</v>
      </c>
      <c r="BH23" s="51" t="str">
        <f t="shared" si="81"/>
        <v>#REF!</v>
      </c>
      <c r="BK23" s="53" t="str">
        <f t="shared" si="82"/>
        <v>  (6.8)</v>
      </c>
      <c r="BL23" s="54" t="str">
        <f t="shared" si="14"/>
        <v>(1%)</v>
      </c>
      <c r="BM23" s="53" t="str">
        <f t="shared" si="83"/>
        <v>  (5.9)</v>
      </c>
      <c r="BN23" s="54" t="str">
        <f t="shared" si="16"/>
        <v>(1%)</v>
      </c>
      <c r="BO23" s="55" t="str">
        <f t="shared" si="84"/>
        <v>#REF!</v>
      </c>
      <c r="BP23" s="56" t="str">
        <f t="shared" si="18"/>
        <v>0%</v>
      </c>
      <c r="BQ23" s="57" t="s">
        <v>44</v>
      </c>
      <c r="BR23" s="58" t="str">
        <f t="shared" si="19"/>
        <v>#REF!</v>
      </c>
      <c r="BS23" s="54" t="str">
        <f t="shared" si="20"/>
        <v>#REF!</v>
      </c>
      <c r="BT23" s="58" t="str">
        <f t="shared" si="21"/>
        <v>#REF!</v>
      </c>
      <c r="BU23" s="54" t="str">
        <f t="shared" si="22"/>
        <v>#REF!</v>
      </c>
    </row>
    <row r="24" ht="15.75" customHeight="1">
      <c r="B24" s="68" t="s">
        <v>45</v>
      </c>
      <c r="C24" s="51" t="str">
        <f t="shared" ref="C24:N24" si="105">SUMIF($B$38:$B$86,$B24,C$38:C$86)</f>
        <v>  (0.2)</v>
      </c>
      <c r="D24" s="51" t="str">
        <f t="shared" si="105"/>
        <v>  (0.2)</v>
      </c>
      <c r="E24" s="51" t="str">
        <f t="shared" si="105"/>
        <v>  (0.2)</v>
      </c>
      <c r="F24" s="51" t="str">
        <f t="shared" si="105"/>
        <v>  (0.2)</v>
      </c>
      <c r="G24" s="51" t="str">
        <f t="shared" si="105"/>
        <v>  (0.2)</v>
      </c>
      <c r="H24" s="51" t="str">
        <f t="shared" si="105"/>
        <v>  (0.2)</v>
      </c>
      <c r="I24" s="51" t="str">
        <f t="shared" si="105"/>
        <v>  (0.2)</v>
      </c>
      <c r="J24" s="51" t="str">
        <f t="shared" si="105"/>
        <v>  (0.2)</v>
      </c>
      <c r="K24" s="51" t="str">
        <f t="shared" si="105"/>
        <v>  (0.2)</v>
      </c>
      <c r="L24" s="51" t="str">
        <f t="shared" si="105"/>
        <v>  (0.2)</v>
      </c>
      <c r="M24" s="51" t="str">
        <f t="shared" si="105"/>
        <v>  (0.2)</v>
      </c>
      <c r="N24" s="51" t="str">
        <f t="shared" si="105"/>
        <v>  (0.2)</v>
      </c>
      <c r="O24" s="51" t="str">
        <f t="shared" si="75"/>
        <v>  (2.4)</v>
      </c>
      <c r="Q24" s="68" t="s">
        <v>45</v>
      </c>
      <c r="R24" s="51" t="str">
        <f t="shared" ref="R24:AC24" si="106">SUMIF($Q$38:$Q$86,$Q24,R$38:R$86)</f>
        <v>  (0.2)</v>
      </c>
      <c r="S24" s="51" t="str">
        <f t="shared" si="106"/>
        <v>  (0.3)</v>
      </c>
      <c r="T24" s="51" t="str">
        <f t="shared" si="106"/>
        <v>  (0.3)</v>
      </c>
      <c r="U24" s="51" t="str">
        <f t="shared" si="106"/>
        <v>  (0.3)</v>
      </c>
      <c r="V24" s="51" t="str">
        <f t="shared" si="106"/>
        <v>  (0.3)</v>
      </c>
      <c r="W24" s="51" t="str">
        <f t="shared" si="106"/>
        <v>  (0.3)</v>
      </c>
      <c r="X24" s="51" t="str">
        <f t="shared" si="106"/>
        <v>  (0.4)</v>
      </c>
      <c r="Y24" s="51" t="str">
        <f t="shared" si="106"/>
        <v>  (0.3)</v>
      </c>
      <c r="Z24" s="51" t="str">
        <f t="shared" si="106"/>
        <v>  (0.3)</v>
      </c>
      <c r="AA24" s="51" t="str">
        <f t="shared" si="106"/>
        <v>  (0.4)</v>
      </c>
      <c r="AB24" s="51" t="str">
        <f t="shared" si="106"/>
        <v>  (0.4)</v>
      </c>
      <c r="AC24" s="51" t="str">
        <f t="shared" si="106"/>
        <v>  (0.3)</v>
      </c>
      <c r="AD24" s="51" t="str">
        <f t="shared" si="77"/>
        <v>  (4.0)</v>
      </c>
      <c r="AF24" s="68" t="s">
        <v>45</v>
      </c>
      <c r="AG24" s="51" t="str">
        <f t="shared" ref="AG24:AR24" si="107">SUMIF($AF$38:$AF$86,$AF24,AG$38:AG$86)</f>
        <v>  (0.4)</v>
      </c>
      <c r="AH24" s="51" t="str">
        <f t="shared" si="107"/>
        <v>  (0.3)</v>
      </c>
      <c r="AI24" s="51" t="str">
        <f t="shared" si="107"/>
        <v>  (0.3)</v>
      </c>
      <c r="AJ24" s="51" t="str">
        <f t="shared" si="107"/>
        <v>  (0.3)</v>
      </c>
      <c r="AK24" s="51" t="str">
        <f t="shared" si="107"/>
        <v>  (0.3)</v>
      </c>
      <c r="AL24" s="51" t="str">
        <f t="shared" si="107"/>
        <v>  (0.3)</v>
      </c>
      <c r="AM24" s="51" t="str">
        <f t="shared" si="107"/>
        <v>  (0.3)</v>
      </c>
      <c r="AN24" s="51" t="str">
        <f t="shared" si="107"/>
        <v>  (0.3)</v>
      </c>
      <c r="AO24" s="51" t="str">
        <f t="shared" si="107"/>
        <v>  (0.3)</v>
      </c>
      <c r="AP24" s="51" t="str">
        <f t="shared" si="107"/>
        <v>  (0.3)</v>
      </c>
      <c r="AQ24" s="51" t="str">
        <f t="shared" si="107"/>
        <v>  (0.3)</v>
      </c>
      <c r="AR24" s="51" t="str">
        <f t="shared" si="107"/>
        <v>  (0.3)</v>
      </c>
      <c r="AS24" s="51" t="str">
        <f t="shared" si="79"/>
        <v>  (3.8)</v>
      </c>
      <c r="AU24" s="68" t="s">
        <v>45</v>
      </c>
      <c r="AV24" s="51" t="str">
        <f t="shared" ref="AV24:BG24" si="108">SUMIF($AU$38:$AU$86,$AU24,AV$38:AV$86)</f>
        <v>#REF!</v>
      </c>
      <c r="AW24" s="51" t="str">
        <f t="shared" si="108"/>
        <v>#REF!</v>
      </c>
      <c r="AX24" s="51" t="str">
        <f t="shared" si="108"/>
        <v>#REF!</v>
      </c>
      <c r="AY24" s="51" t="str">
        <f t="shared" si="108"/>
        <v>#REF!</v>
      </c>
      <c r="AZ24" s="51" t="str">
        <f t="shared" si="108"/>
        <v>#ERROR!</v>
      </c>
      <c r="BA24" s="51" t="str">
        <f t="shared" si="108"/>
        <v>#ERROR!</v>
      </c>
      <c r="BB24" s="51" t="str">
        <f t="shared" si="108"/>
        <v>#ERROR!</v>
      </c>
      <c r="BC24" s="51" t="str">
        <f t="shared" si="108"/>
        <v>#ERROR!</v>
      </c>
      <c r="BD24" s="51" t="str">
        <f t="shared" si="108"/>
        <v>#ERROR!</v>
      </c>
      <c r="BE24" s="51" t="str">
        <f t="shared" si="108"/>
        <v>#ERROR!</v>
      </c>
      <c r="BF24" s="51" t="str">
        <f t="shared" si="108"/>
        <v>#ERROR!</v>
      </c>
      <c r="BG24" s="51" t="str">
        <f t="shared" si="108"/>
        <v>#ERROR!</v>
      </c>
      <c r="BH24" s="51" t="str">
        <f t="shared" si="81"/>
        <v>#REF!</v>
      </c>
      <c r="BK24" s="53" t="str">
        <f t="shared" si="82"/>
        <v>  (4.0)</v>
      </c>
      <c r="BL24" s="54" t="str">
        <f t="shared" si="14"/>
        <v>(0%)</v>
      </c>
      <c r="BM24" s="53" t="str">
        <f t="shared" si="83"/>
        <v>  (3.8)</v>
      </c>
      <c r="BN24" s="54" t="str">
        <f t="shared" si="16"/>
        <v>(1%)</v>
      </c>
      <c r="BO24" s="55" t="str">
        <f t="shared" si="84"/>
        <v>#REF!</v>
      </c>
      <c r="BP24" s="56" t="str">
        <f t="shared" si="18"/>
        <v>0%</v>
      </c>
      <c r="BQ24" s="57" t="s">
        <v>45</v>
      </c>
      <c r="BR24" s="58" t="str">
        <f t="shared" si="19"/>
        <v>#REF!</v>
      </c>
      <c r="BS24" s="54" t="str">
        <f t="shared" si="20"/>
        <v>#REF!</v>
      </c>
      <c r="BT24" s="58" t="str">
        <f t="shared" si="21"/>
        <v>#REF!</v>
      </c>
      <c r="BU24" s="54" t="str">
        <f t="shared" si="22"/>
        <v>#REF!</v>
      </c>
    </row>
    <row r="25" ht="15.75" customHeight="1">
      <c r="B25" s="68" t="s">
        <v>46</v>
      </c>
      <c r="C25" s="51" t="str">
        <f t="shared" ref="C25:N25" si="109">SUMIF($B$38:$B$86,$B25,C$38:C$86)</f>
        <v>  (0.0)</v>
      </c>
      <c r="D25" s="51" t="str">
        <f t="shared" si="109"/>
        <v>  (0.0)</v>
      </c>
      <c r="E25" s="51" t="str">
        <f t="shared" si="109"/>
        <v>  (0.0)</v>
      </c>
      <c r="F25" s="51" t="str">
        <f t="shared" si="109"/>
        <v>  (0.0)</v>
      </c>
      <c r="G25" s="51" t="str">
        <f t="shared" si="109"/>
        <v>  (0.0)</v>
      </c>
      <c r="H25" s="51" t="str">
        <f t="shared" si="109"/>
        <v>  (0.0)</v>
      </c>
      <c r="I25" s="51" t="str">
        <f t="shared" si="109"/>
        <v>  (0.0)</v>
      </c>
      <c r="J25" s="51" t="str">
        <f t="shared" si="109"/>
        <v>  (0.0)</v>
      </c>
      <c r="K25" s="51" t="str">
        <f t="shared" si="109"/>
        <v>  (0.0)</v>
      </c>
      <c r="L25" s="51" t="str">
        <f t="shared" si="109"/>
        <v>  (0.0)</v>
      </c>
      <c r="M25" s="51" t="str">
        <f t="shared" si="109"/>
        <v>  (0.0)</v>
      </c>
      <c r="N25" s="51" t="str">
        <f t="shared" si="109"/>
        <v>  (0.0)</v>
      </c>
      <c r="O25" s="51" t="str">
        <f t="shared" si="75"/>
        <v>  (0.1)</v>
      </c>
      <c r="Q25" s="68" t="s">
        <v>46</v>
      </c>
      <c r="R25" s="51" t="str">
        <f t="shared" ref="R25:AC25" si="110">SUMIF($Q$38:$Q$86,$Q25,R$38:R$86)</f>
        <v>  (0.0)</v>
      </c>
      <c r="S25" s="51" t="str">
        <f t="shared" si="110"/>
        <v>  (0.0)</v>
      </c>
      <c r="T25" s="51" t="str">
        <f t="shared" si="110"/>
        <v>  (0.0)</v>
      </c>
      <c r="U25" s="51" t="str">
        <f t="shared" si="110"/>
        <v>  (0.0)</v>
      </c>
      <c r="V25" s="51" t="str">
        <f t="shared" si="110"/>
        <v>  (0.0)</v>
      </c>
      <c r="W25" s="51" t="str">
        <f t="shared" si="110"/>
        <v>  (0.0)</v>
      </c>
      <c r="X25" s="51" t="str">
        <f t="shared" si="110"/>
        <v>  (0.0)</v>
      </c>
      <c r="Y25" s="51" t="str">
        <f t="shared" si="110"/>
        <v>  (0.0)</v>
      </c>
      <c r="Z25" s="51" t="str">
        <f t="shared" si="110"/>
        <v>  (0.0)</v>
      </c>
      <c r="AA25" s="51" t="str">
        <f t="shared" si="110"/>
        <v>  (0.0)</v>
      </c>
      <c r="AB25" s="51" t="str">
        <f t="shared" si="110"/>
        <v>  (0.0)</v>
      </c>
      <c r="AC25" s="51" t="str">
        <f t="shared" si="110"/>
        <v>  (0.0)</v>
      </c>
      <c r="AD25" s="51" t="str">
        <f t="shared" si="77"/>
        <v>  (0.0)</v>
      </c>
      <c r="AF25" s="68" t="s">
        <v>46</v>
      </c>
      <c r="AG25" s="51" t="str">
        <f t="shared" ref="AG25:AR25" si="111">SUMIF($AF$38:$AF$86,$AF25,AG$38:AG$86)</f>
        <v>  (0.0)</v>
      </c>
      <c r="AH25" s="51" t="str">
        <f t="shared" si="111"/>
        <v>  (0.0)</v>
      </c>
      <c r="AI25" s="51" t="str">
        <f t="shared" si="111"/>
        <v>  (0.0)</v>
      </c>
      <c r="AJ25" s="51" t="str">
        <f t="shared" si="111"/>
        <v>  (0.0)</v>
      </c>
      <c r="AK25" s="51" t="str">
        <f t="shared" si="111"/>
        <v>  (0.0)</v>
      </c>
      <c r="AL25" s="51" t="str">
        <f t="shared" si="111"/>
        <v>  (0.0)</v>
      </c>
      <c r="AM25" s="51" t="str">
        <f t="shared" si="111"/>
        <v>  (0.0)</v>
      </c>
      <c r="AN25" s="51" t="str">
        <f t="shared" si="111"/>
        <v>  (0.0)</v>
      </c>
      <c r="AO25" s="51" t="str">
        <f t="shared" si="111"/>
        <v>  (0.0)</v>
      </c>
      <c r="AP25" s="51" t="str">
        <f t="shared" si="111"/>
        <v>  (0.0)</v>
      </c>
      <c r="AQ25" s="51" t="str">
        <f t="shared" si="111"/>
        <v>  (0.0)</v>
      </c>
      <c r="AR25" s="51" t="str">
        <f t="shared" si="111"/>
        <v>  (0.0)</v>
      </c>
      <c r="AS25" s="51" t="str">
        <f t="shared" si="79"/>
        <v>  (0.1)</v>
      </c>
      <c r="AU25" s="68" t="s">
        <v>46</v>
      </c>
      <c r="AV25" s="51" t="str">
        <f t="shared" ref="AV25:BG25" si="112">SUMIF($AU$38:$AU$86,$AU25,AV$38:AV$86)</f>
        <v>#REF!</v>
      </c>
      <c r="AW25" s="51" t="str">
        <f t="shared" si="112"/>
        <v>#REF!</v>
      </c>
      <c r="AX25" s="51" t="str">
        <f t="shared" si="112"/>
        <v>#REF!</v>
      </c>
      <c r="AY25" s="51" t="str">
        <f t="shared" si="112"/>
        <v>#REF!</v>
      </c>
      <c r="AZ25" s="51" t="str">
        <f t="shared" si="112"/>
        <v>  (0.0)</v>
      </c>
      <c r="BA25" s="51" t="str">
        <f t="shared" si="112"/>
        <v>  (0.0)</v>
      </c>
      <c r="BB25" s="51" t="str">
        <f t="shared" si="112"/>
        <v>  (0.0)</v>
      </c>
      <c r="BC25" s="51" t="str">
        <f t="shared" si="112"/>
        <v>  (0.0)</v>
      </c>
      <c r="BD25" s="51" t="str">
        <f t="shared" si="112"/>
        <v>  (0.0)</v>
      </c>
      <c r="BE25" s="51" t="str">
        <f t="shared" si="112"/>
        <v>  (0.0)</v>
      </c>
      <c r="BF25" s="51" t="str">
        <f t="shared" si="112"/>
        <v>  (0.0)</v>
      </c>
      <c r="BG25" s="51" t="str">
        <f t="shared" si="112"/>
        <v>  (0.0)</v>
      </c>
      <c r="BH25" s="51" t="str">
        <f t="shared" si="81"/>
        <v>#REF!</v>
      </c>
      <c r="BK25" s="53" t="str">
        <f t="shared" si="82"/>
        <v>  (0.0)</v>
      </c>
      <c r="BL25" s="54" t="str">
        <f t="shared" si="14"/>
        <v>(0%)</v>
      </c>
      <c r="BM25" s="53" t="str">
        <f t="shared" si="83"/>
        <v>  (0.1)</v>
      </c>
      <c r="BN25" s="54" t="str">
        <f t="shared" si="16"/>
        <v>(0%)</v>
      </c>
      <c r="BO25" s="55" t="str">
        <f t="shared" si="84"/>
        <v>#REF!</v>
      </c>
      <c r="BP25" s="56" t="str">
        <f t="shared" si="18"/>
        <v>0%</v>
      </c>
      <c r="BQ25" s="57" t="s">
        <v>46</v>
      </c>
      <c r="BR25" s="58" t="str">
        <f t="shared" si="19"/>
        <v>#REF!</v>
      </c>
      <c r="BS25" s="54" t="str">
        <f t="shared" si="20"/>
        <v>#REF!</v>
      </c>
      <c r="BT25" s="58" t="str">
        <f t="shared" si="21"/>
        <v>#REF!</v>
      </c>
      <c r="BU25" s="54" t="str">
        <f t="shared" si="22"/>
        <v>#REF!</v>
      </c>
    </row>
    <row r="26" ht="15.75" customHeight="1">
      <c r="B26" s="68" t="s">
        <v>47</v>
      </c>
      <c r="C26" s="51" t="str">
        <f t="shared" ref="C26:N26" si="113">SUMIF($B$38:$B$86,$B26,C$38:C$86)</f>
        <v>  (0.2)</v>
      </c>
      <c r="D26" s="51" t="str">
        <f t="shared" si="113"/>
        <v>  (0.1)</v>
      </c>
      <c r="E26" s="51" t="str">
        <f t="shared" si="113"/>
        <v>  (0.2)</v>
      </c>
      <c r="F26" s="51" t="str">
        <f t="shared" si="113"/>
        <v>  (0.2)</v>
      </c>
      <c r="G26" s="51" t="str">
        <f t="shared" si="113"/>
        <v>  (0.2)</v>
      </c>
      <c r="H26" s="51" t="str">
        <f t="shared" si="113"/>
        <v>  (0.2)</v>
      </c>
      <c r="I26" s="51" t="str">
        <f t="shared" si="113"/>
        <v>  (0.3)</v>
      </c>
      <c r="J26" s="51" t="str">
        <f t="shared" si="113"/>
        <v>  (0.3)</v>
      </c>
      <c r="K26" s="51" t="str">
        <f t="shared" si="113"/>
        <v>  (0.3)</v>
      </c>
      <c r="L26" s="51" t="str">
        <f t="shared" si="113"/>
        <v>  (0.3)</v>
      </c>
      <c r="M26" s="51" t="str">
        <f t="shared" si="113"/>
        <v>  (0.3)</v>
      </c>
      <c r="N26" s="51" t="str">
        <f t="shared" si="113"/>
        <v>  (0.3)</v>
      </c>
      <c r="O26" s="51" t="str">
        <f t="shared" si="75"/>
        <v>  (2.8)</v>
      </c>
      <c r="Q26" s="68" t="s">
        <v>47</v>
      </c>
      <c r="R26" s="51" t="str">
        <f t="shared" ref="R26:AC26" si="114">SUMIF($Q$38:$Q$86,$Q26,R$38:R$86)</f>
        <v>  (0.4)</v>
      </c>
      <c r="S26" s="51" t="str">
        <f t="shared" si="114"/>
        <v>  (0.4)</v>
      </c>
      <c r="T26" s="51" t="str">
        <f t="shared" si="114"/>
        <v>  (0.4)</v>
      </c>
      <c r="U26" s="51" t="str">
        <f t="shared" si="114"/>
        <v>  (0.4)</v>
      </c>
      <c r="V26" s="51" t="str">
        <f t="shared" si="114"/>
        <v>  (0.4)</v>
      </c>
      <c r="W26" s="51" t="str">
        <f t="shared" si="114"/>
        <v>  (0.5)</v>
      </c>
      <c r="X26" s="51" t="str">
        <f t="shared" si="114"/>
        <v>  (0.5)</v>
      </c>
      <c r="Y26" s="51" t="str">
        <f t="shared" si="114"/>
        <v>  (0.5)</v>
      </c>
      <c r="Z26" s="51" t="str">
        <f t="shared" si="114"/>
        <v>  (0.6)</v>
      </c>
      <c r="AA26" s="51" t="str">
        <f t="shared" si="114"/>
        <v>  (0.5)</v>
      </c>
      <c r="AB26" s="51" t="str">
        <f t="shared" si="114"/>
        <v>  (0.5)</v>
      </c>
      <c r="AC26" s="51" t="str">
        <f t="shared" si="114"/>
        <v>  (1.0)</v>
      </c>
      <c r="AD26" s="51" t="str">
        <f t="shared" si="77"/>
        <v>  (6.0)</v>
      </c>
      <c r="AF26" s="68" t="s">
        <v>47</v>
      </c>
      <c r="AG26" s="51" t="str">
        <f t="shared" ref="AG26:AR26" si="115">SUMIF($AF$38:$AF$86,$AF26,AG$38:AG$86)</f>
        <v>  (0.5)</v>
      </c>
      <c r="AH26" s="51" t="str">
        <f t="shared" si="115"/>
        <v>  (0.5)</v>
      </c>
      <c r="AI26" s="51" t="str">
        <f t="shared" si="115"/>
        <v>  (0.5)</v>
      </c>
      <c r="AJ26" s="51" t="str">
        <f t="shared" si="115"/>
        <v>  (0.5)</v>
      </c>
      <c r="AK26" s="51" t="str">
        <f t="shared" si="115"/>
        <v>  (0.5)</v>
      </c>
      <c r="AL26" s="51" t="str">
        <f t="shared" si="115"/>
        <v>  (0.5)</v>
      </c>
      <c r="AM26" s="51" t="str">
        <f t="shared" si="115"/>
        <v>  (0.5)</v>
      </c>
      <c r="AN26" s="51" t="str">
        <f t="shared" si="115"/>
        <v>  (0.5)</v>
      </c>
      <c r="AO26" s="51" t="str">
        <f t="shared" si="115"/>
        <v>  (0.5)</v>
      </c>
      <c r="AP26" s="51" t="str">
        <f t="shared" si="115"/>
        <v>  (0.5)</v>
      </c>
      <c r="AQ26" s="51" t="str">
        <f t="shared" si="115"/>
        <v>  (0.5)</v>
      </c>
      <c r="AR26" s="51" t="str">
        <f t="shared" si="115"/>
        <v>  (0.5)</v>
      </c>
      <c r="AS26" s="51" t="str">
        <f t="shared" si="79"/>
        <v>  (6.1)</v>
      </c>
      <c r="AU26" s="68" t="s">
        <v>47</v>
      </c>
      <c r="AV26" s="51" t="str">
        <f t="shared" ref="AV26:BG26" si="116">SUMIF($AU$38:$AU$86,$AU26,AV$38:AV$86)</f>
        <v>  (0.5)</v>
      </c>
      <c r="AW26" s="51" t="str">
        <f t="shared" si="116"/>
        <v>  (0.5)</v>
      </c>
      <c r="AX26" s="51" t="str">
        <f t="shared" si="116"/>
        <v>  (0.4)</v>
      </c>
      <c r="AY26" s="51" t="str">
        <f t="shared" si="116"/>
        <v>  (0.5)</v>
      </c>
      <c r="AZ26" s="51" t="str">
        <f t="shared" si="116"/>
        <v>  (0.4)</v>
      </c>
      <c r="BA26" s="51" t="str">
        <f t="shared" si="116"/>
        <v>  (0.4)</v>
      </c>
      <c r="BB26" s="51" t="str">
        <f t="shared" si="116"/>
        <v>  (0.4)</v>
      </c>
      <c r="BC26" s="51" t="str">
        <f t="shared" si="116"/>
        <v>  (0.4)</v>
      </c>
      <c r="BD26" s="51" t="str">
        <f t="shared" si="116"/>
        <v>  (0.4)</v>
      </c>
      <c r="BE26" s="51" t="str">
        <f t="shared" si="116"/>
        <v>  (0.4)</v>
      </c>
      <c r="BF26" s="51" t="str">
        <f t="shared" si="116"/>
        <v>  (0.4)</v>
      </c>
      <c r="BG26" s="51" t="str">
        <f t="shared" si="116"/>
        <v>  (0.4)</v>
      </c>
      <c r="BH26" s="51" t="str">
        <f t="shared" si="81"/>
        <v>  (5.0)</v>
      </c>
      <c r="BK26" s="53" t="str">
        <f t="shared" si="82"/>
        <v>  (6.0)</v>
      </c>
      <c r="BL26" s="54" t="str">
        <f t="shared" si="14"/>
        <v>(1%)</v>
      </c>
      <c r="BM26" s="53" t="str">
        <f t="shared" si="83"/>
        <v>  (6.1)</v>
      </c>
      <c r="BN26" s="54" t="str">
        <f t="shared" si="16"/>
        <v>(1%)</v>
      </c>
      <c r="BO26" s="55" t="str">
        <f t="shared" si="84"/>
        <v>  (5.0)</v>
      </c>
      <c r="BP26" s="56" t="str">
        <f t="shared" si="18"/>
        <v>0%</v>
      </c>
      <c r="BQ26" s="57" t="s">
        <v>47</v>
      </c>
      <c r="BR26" s="58" t="str">
        <f t="shared" si="19"/>
        <v>  1.2 </v>
      </c>
      <c r="BS26" s="54" t="str">
        <f t="shared" si="20"/>
        <v>19%</v>
      </c>
      <c r="BT26" s="58" t="str">
        <f t="shared" si="21"/>
        <v>  1.1 </v>
      </c>
      <c r="BU26" s="54" t="str">
        <f t="shared" si="22"/>
        <v>18%</v>
      </c>
    </row>
    <row r="27" ht="15.75" customHeight="1">
      <c r="B27" s="68" t="s">
        <v>48</v>
      </c>
      <c r="C27" s="51" t="str">
        <f t="shared" ref="C27:N27" si="117">SUMIF($B$38:$B$86,$B27,C$38:C$86)</f>
        <v>  (2.0)</v>
      </c>
      <c r="D27" s="51" t="str">
        <f t="shared" si="117"/>
        <v>  (2.0)</v>
      </c>
      <c r="E27" s="51" t="str">
        <f t="shared" si="117"/>
        <v>  (2.2)</v>
      </c>
      <c r="F27" s="51" t="str">
        <f t="shared" si="117"/>
        <v>  (2.3)</v>
      </c>
      <c r="G27" s="51" t="str">
        <f t="shared" si="117"/>
        <v>  (2.4)</v>
      </c>
      <c r="H27" s="51" t="str">
        <f t="shared" si="117"/>
        <v>  (2.4)</v>
      </c>
      <c r="I27" s="51" t="str">
        <f t="shared" si="117"/>
        <v>  (2.7)</v>
      </c>
      <c r="J27" s="51" t="str">
        <f t="shared" si="117"/>
        <v>  (2.3)</v>
      </c>
      <c r="K27" s="51" t="str">
        <f t="shared" si="117"/>
        <v>  (3.4)</v>
      </c>
      <c r="L27" s="51" t="str">
        <f t="shared" si="117"/>
        <v>  (3.2)</v>
      </c>
      <c r="M27" s="51" t="str">
        <f t="shared" si="117"/>
        <v>  (3.1)</v>
      </c>
      <c r="N27" s="51" t="str">
        <f t="shared" si="117"/>
        <v>  (4.0)</v>
      </c>
      <c r="O27" s="51" t="str">
        <f t="shared" si="75"/>
        <v>  (32.1)</v>
      </c>
      <c r="Q27" s="68" t="s">
        <v>48</v>
      </c>
      <c r="R27" s="51" t="str">
        <f t="shared" ref="R27:AC27" si="118">SUMIF($Q$38:$Q$86,$Q27,R$38:R$86)</f>
        <v>  (2.3)</v>
      </c>
      <c r="S27" s="51" t="str">
        <f t="shared" si="118"/>
        <v>  (2.3)</v>
      </c>
      <c r="T27" s="51" t="str">
        <f t="shared" si="118"/>
        <v>  (2.5)</v>
      </c>
      <c r="U27" s="51" t="str">
        <f t="shared" si="118"/>
        <v>  (2.7)</v>
      </c>
      <c r="V27" s="51" t="str">
        <f t="shared" si="118"/>
        <v>  (3.0)</v>
      </c>
      <c r="W27" s="51" t="str">
        <f t="shared" si="118"/>
        <v>  (3.1)</v>
      </c>
      <c r="X27" s="51" t="str">
        <f t="shared" si="118"/>
        <v>  (2.9)</v>
      </c>
      <c r="Y27" s="51" t="str">
        <f t="shared" si="118"/>
        <v>  (2.9)</v>
      </c>
      <c r="Z27" s="51" t="str">
        <f t="shared" si="118"/>
        <v>  (2.7)</v>
      </c>
      <c r="AA27" s="51" t="str">
        <f t="shared" si="118"/>
        <v>  (3.1)</v>
      </c>
      <c r="AB27" s="51" t="str">
        <f t="shared" si="118"/>
        <v>  (2.9)</v>
      </c>
      <c r="AC27" s="51" t="str">
        <f t="shared" si="118"/>
        <v>  (3.4)</v>
      </c>
      <c r="AD27" s="51" t="str">
        <f t="shared" si="77"/>
        <v>  (33.7)</v>
      </c>
      <c r="AF27" s="68" t="s">
        <v>48</v>
      </c>
      <c r="AG27" s="51" t="str">
        <f t="shared" ref="AG27:AR27" si="119">SUMIF($AF$38:$AF$86,$AF27,AG$38:AG$86)</f>
        <v>  (2.2)</v>
      </c>
      <c r="AH27" s="51" t="str">
        <f t="shared" si="119"/>
        <v>  (2.3)</v>
      </c>
      <c r="AI27" s="51" t="str">
        <f t="shared" si="119"/>
        <v>  (2.5)</v>
      </c>
      <c r="AJ27" s="51" t="str">
        <f t="shared" si="119"/>
        <v>  (2.4)</v>
      </c>
      <c r="AK27" s="51" t="str">
        <f t="shared" si="119"/>
        <v>  (2.5)</v>
      </c>
      <c r="AL27" s="51" t="str">
        <f t="shared" si="119"/>
        <v>  (2.6)</v>
      </c>
      <c r="AM27" s="51" t="str">
        <f t="shared" si="119"/>
        <v>  (2.5)</v>
      </c>
      <c r="AN27" s="51" t="str">
        <f t="shared" si="119"/>
        <v>  (2.5)</v>
      </c>
      <c r="AO27" s="51" t="str">
        <f t="shared" si="119"/>
        <v>  (2.6)</v>
      </c>
      <c r="AP27" s="51" t="str">
        <f t="shared" si="119"/>
        <v>  (2.6)</v>
      </c>
      <c r="AQ27" s="51" t="str">
        <f t="shared" si="119"/>
        <v>  (2.7)</v>
      </c>
      <c r="AR27" s="51" t="str">
        <f t="shared" si="119"/>
        <v>  (2.8)</v>
      </c>
      <c r="AS27" s="51" t="str">
        <f t="shared" si="79"/>
        <v>  (30.3)</v>
      </c>
      <c r="AU27" s="68" t="s">
        <v>48</v>
      </c>
      <c r="AV27" s="51" t="str">
        <f t="shared" ref="AV27:BG27" si="120">SUMIF($AU$38:$AU$86,$AU27,AV$38:AV$86)</f>
        <v>#REF!</v>
      </c>
      <c r="AW27" s="51" t="str">
        <f t="shared" si="120"/>
        <v>#REF!</v>
      </c>
      <c r="AX27" s="51" t="str">
        <f t="shared" si="120"/>
        <v>#REF!</v>
      </c>
      <c r="AY27" s="51" t="str">
        <f t="shared" si="120"/>
        <v>#REF!</v>
      </c>
      <c r="AZ27" s="51" t="str">
        <f t="shared" si="120"/>
        <v>  (2.5)</v>
      </c>
      <c r="BA27" s="51" t="str">
        <f t="shared" si="120"/>
        <v>  (2.6)</v>
      </c>
      <c r="BB27" s="51" t="str">
        <f t="shared" si="120"/>
        <v>  (2.5)</v>
      </c>
      <c r="BC27" s="51" t="str">
        <f t="shared" si="120"/>
        <v>  (2.5)</v>
      </c>
      <c r="BD27" s="51" t="str">
        <f t="shared" si="120"/>
        <v>  (2.6)</v>
      </c>
      <c r="BE27" s="51" t="str">
        <f t="shared" si="120"/>
        <v>  (2.6)</v>
      </c>
      <c r="BF27" s="51" t="str">
        <f t="shared" si="120"/>
        <v>  (2.7)</v>
      </c>
      <c r="BG27" s="51" t="str">
        <f t="shared" si="120"/>
        <v>  (2.8)</v>
      </c>
      <c r="BH27" s="51" t="str">
        <f t="shared" si="81"/>
        <v>#REF!</v>
      </c>
      <c r="BK27" s="53" t="str">
        <f t="shared" si="82"/>
        <v>  (33.7)</v>
      </c>
      <c r="BL27" s="54" t="str">
        <f t="shared" si="14"/>
        <v>(4%)</v>
      </c>
      <c r="BM27" s="53" t="str">
        <f t="shared" si="83"/>
        <v>  (30.3)</v>
      </c>
      <c r="BN27" s="54" t="str">
        <f t="shared" si="16"/>
        <v>(5%)</v>
      </c>
      <c r="BO27" s="55" t="str">
        <f t="shared" si="84"/>
        <v>#REF!</v>
      </c>
      <c r="BP27" s="56" t="str">
        <f t="shared" si="18"/>
        <v>0%</v>
      </c>
      <c r="BQ27" s="57" t="s">
        <v>48</v>
      </c>
      <c r="BR27" s="58" t="str">
        <f t="shared" si="19"/>
        <v>#REF!</v>
      </c>
      <c r="BS27" s="54" t="str">
        <f t="shared" si="20"/>
        <v>#REF!</v>
      </c>
      <c r="BT27" s="58" t="str">
        <f t="shared" si="21"/>
        <v>#REF!</v>
      </c>
      <c r="BU27" s="54" t="str">
        <f t="shared" si="22"/>
        <v>#REF!</v>
      </c>
    </row>
    <row r="28" ht="15.75" customHeight="1">
      <c r="B28" s="59" t="s">
        <v>49</v>
      </c>
      <c r="C28" s="60" t="str">
        <f t="shared" ref="C28:O28" si="121">+SUM(C17:C27)</f>
        <v>  (7.8)</v>
      </c>
      <c r="D28" s="60" t="str">
        <f t="shared" si="121"/>
        <v>  (7.4)</v>
      </c>
      <c r="E28" s="60" t="str">
        <f t="shared" si="121"/>
        <v>  (8.4)</v>
      </c>
      <c r="F28" s="60" t="str">
        <f t="shared" si="121"/>
        <v>  (8.4)</v>
      </c>
      <c r="G28" s="60" t="str">
        <f t="shared" si="121"/>
        <v>  (8.2)</v>
      </c>
      <c r="H28" s="60" t="str">
        <f t="shared" si="121"/>
        <v>  (8.6)</v>
      </c>
      <c r="I28" s="60" t="str">
        <f t="shared" si="121"/>
        <v>  (9.2)</v>
      </c>
      <c r="J28" s="60" t="str">
        <f t="shared" si="121"/>
        <v>  (8.7)</v>
      </c>
      <c r="K28" s="60" t="str">
        <f t="shared" si="121"/>
        <v>  (10.2)</v>
      </c>
      <c r="L28" s="60" t="str">
        <f t="shared" si="121"/>
        <v>  (10.0)</v>
      </c>
      <c r="M28" s="60" t="str">
        <f t="shared" si="121"/>
        <v>  (10.8)</v>
      </c>
      <c r="N28" s="60" t="str">
        <f t="shared" si="121"/>
        <v>  (11.6)</v>
      </c>
      <c r="O28" s="60" t="str">
        <f t="shared" si="121"/>
        <v>  (109.2)</v>
      </c>
      <c r="Q28" s="59" t="s">
        <v>49</v>
      </c>
      <c r="R28" s="60" t="str">
        <f t="shared" ref="R28:AD28" si="122">+SUM(R17:R27)</f>
        <v>  (9.9)</v>
      </c>
      <c r="S28" s="60" t="str">
        <f t="shared" si="122"/>
        <v>  (10.6)</v>
      </c>
      <c r="T28" s="60" t="str">
        <f t="shared" si="122"/>
        <v>  (10.7)</v>
      </c>
      <c r="U28" s="60" t="str">
        <f t="shared" si="122"/>
        <v>  (10.9)</v>
      </c>
      <c r="V28" s="60" t="str">
        <f t="shared" si="122"/>
        <v>  (11.1)</v>
      </c>
      <c r="W28" s="60" t="str">
        <f t="shared" si="122"/>
        <v>  (11.5)</v>
      </c>
      <c r="X28" s="60" t="str">
        <f t="shared" si="122"/>
        <v>  (10.6)</v>
      </c>
      <c r="Y28" s="60" t="str">
        <f t="shared" si="122"/>
        <v>  (11.2)</v>
      </c>
      <c r="Z28" s="60" t="str">
        <f t="shared" si="122"/>
        <v>  (11.0)</v>
      </c>
      <c r="AA28" s="60" t="str">
        <f t="shared" si="122"/>
        <v>  (11.9)</v>
      </c>
      <c r="AB28" s="60" t="str">
        <f t="shared" si="122"/>
        <v>  (10.7)</v>
      </c>
      <c r="AC28" s="60" t="str">
        <f t="shared" si="122"/>
        <v>  (12.3)</v>
      </c>
      <c r="AD28" s="60" t="str">
        <f t="shared" si="122"/>
        <v>  (132.6)</v>
      </c>
      <c r="AF28" s="59" t="s">
        <v>49</v>
      </c>
      <c r="AG28" s="60" t="str">
        <f t="shared" ref="AG28:AS28" si="123">+SUM(AG17:AG27)</f>
        <v>  (10.0)</v>
      </c>
      <c r="AH28" s="60" t="str">
        <f t="shared" si="123"/>
        <v>  (10.0)</v>
      </c>
      <c r="AI28" s="60" t="str">
        <f t="shared" si="123"/>
        <v>  (9.8)</v>
      </c>
      <c r="AJ28" s="60" t="str">
        <f t="shared" si="123"/>
        <v>  (9.5)</v>
      </c>
      <c r="AK28" s="60" t="str">
        <f t="shared" si="123"/>
        <v>  (9.4)</v>
      </c>
      <c r="AL28" s="60" t="str">
        <f t="shared" si="123"/>
        <v>  (9.6)</v>
      </c>
      <c r="AM28" s="60" t="str">
        <f t="shared" si="123"/>
        <v>  (9.5)</v>
      </c>
      <c r="AN28" s="60" t="str">
        <f t="shared" si="123"/>
        <v>  (9.5)</v>
      </c>
      <c r="AO28" s="60" t="str">
        <f t="shared" si="123"/>
        <v>  (9.7)</v>
      </c>
      <c r="AP28" s="60" t="str">
        <f t="shared" si="123"/>
        <v>  (9.7)</v>
      </c>
      <c r="AQ28" s="60" t="str">
        <f t="shared" si="123"/>
        <v>  (9.7)</v>
      </c>
      <c r="AR28" s="60" t="str">
        <f t="shared" si="123"/>
        <v>  (9.9)</v>
      </c>
      <c r="AS28" s="60" t="str">
        <f t="shared" si="123"/>
        <v>  (116.4)</v>
      </c>
      <c r="AU28" s="59" t="s">
        <v>49</v>
      </c>
      <c r="AV28" s="60" t="str">
        <f t="shared" ref="AV28:BH28" si="124">+SUM(AV17:AV27)</f>
        <v>#REF!</v>
      </c>
      <c r="AW28" s="60" t="str">
        <f t="shared" si="124"/>
        <v>#REF!</v>
      </c>
      <c r="AX28" s="60" t="str">
        <f t="shared" si="124"/>
        <v>#REF!</v>
      </c>
      <c r="AY28" s="60" t="str">
        <f t="shared" si="124"/>
        <v>#REF!</v>
      </c>
      <c r="AZ28" s="60" t="str">
        <f t="shared" si="124"/>
        <v>#ERROR!</v>
      </c>
      <c r="BA28" s="60" t="str">
        <f t="shared" si="124"/>
        <v>#ERROR!</v>
      </c>
      <c r="BB28" s="60" t="str">
        <f t="shared" si="124"/>
        <v>#ERROR!</v>
      </c>
      <c r="BC28" s="60" t="str">
        <f t="shared" si="124"/>
        <v>#ERROR!</v>
      </c>
      <c r="BD28" s="60" t="str">
        <f t="shared" si="124"/>
        <v>#ERROR!</v>
      </c>
      <c r="BE28" s="60" t="str">
        <f t="shared" si="124"/>
        <v>#ERROR!</v>
      </c>
      <c r="BF28" s="60" t="str">
        <f t="shared" si="124"/>
        <v>#ERROR!</v>
      </c>
      <c r="BG28" s="60" t="str">
        <f t="shared" si="124"/>
        <v>#ERROR!</v>
      </c>
      <c r="BH28" s="60" t="str">
        <f t="shared" si="124"/>
        <v>#REF!</v>
      </c>
      <c r="BK28" s="73" t="str">
        <f>+SUM(BK17:BK27)</f>
        <v>  (132.6)</v>
      </c>
      <c r="BL28" s="74" t="str">
        <f t="shared" si="14"/>
        <v>(16%)</v>
      </c>
      <c r="BM28" s="73" t="str">
        <f>+SUM(BM17:BM27)</f>
        <v>  (116.4)</v>
      </c>
      <c r="BN28" s="74" t="str">
        <f t="shared" si="16"/>
        <v>(21%)</v>
      </c>
      <c r="BO28" s="73" t="str">
        <f>+SUM(BO17:BO27)</f>
        <v>#REF!</v>
      </c>
      <c r="BP28" s="74" t="str">
        <f t="shared" si="18"/>
        <v>0%</v>
      </c>
      <c r="BQ28" s="75" t="s">
        <v>49</v>
      </c>
      <c r="BR28" s="73" t="str">
        <f t="shared" si="19"/>
        <v>#REF!</v>
      </c>
      <c r="BS28" s="74" t="str">
        <f t="shared" si="20"/>
        <v>#REF!</v>
      </c>
      <c r="BT28" s="73" t="str">
        <f t="shared" si="21"/>
        <v>#REF!</v>
      </c>
      <c r="BU28" s="74" t="str">
        <f t="shared" si="22"/>
        <v>#REF!</v>
      </c>
    </row>
    <row r="29" ht="15.75" customHeight="1">
      <c r="B29" s="95" t="s">
        <v>50</v>
      </c>
      <c r="C29" s="96" t="str">
        <f t="shared" ref="C29:O29" si="125">C16+C28</f>
        <v>  2.3 </v>
      </c>
      <c r="D29" s="96" t="str">
        <f t="shared" si="125"/>
        <v>  3.2 </v>
      </c>
      <c r="E29" s="96" t="str">
        <f t="shared" si="125"/>
        <v>  7.2 </v>
      </c>
      <c r="F29" s="96" t="str">
        <f t="shared" si="125"/>
        <v>  (0.4)</v>
      </c>
      <c r="G29" s="96" t="str">
        <f t="shared" si="125"/>
        <v>  14.3 </v>
      </c>
      <c r="H29" s="96" t="str">
        <f t="shared" si="125"/>
        <v>  5.0 </v>
      </c>
      <c r="I29" s="96" t="str">
        <f t="shared" si="125"/>
        <v>  9.0 </v>
      </c>
      <c r="J29" s="96" t="str">
        <f t="shared" si="125"/>
        <v>  11.1 </v>
      </c>
      <c r="K29" s="96" t="str">
        <f t="shared" si="125"/>
        <v>  8.0 </v>
      </c>
      <c r="L29" s="96" t="str">
        <f t="shared" si="125"/>
        <v>  12.2 </v>
      </c>
      <c r="M29" s="96" t="str">
        <f t="shared" si="125"/>
        <v>  15.1 </v>
      </c>
      <c r="N29" s="96" t="str">
        <f t="shared" si="125"/>
        <v>  16.8 </v>
      </c>
      <c r="O29" s="96" t="str">
        <f t="shared" si="125"/>
        <v>  103.8 </v>
      </c>
      <c r="Q29" s="95" t="s">
        <v>50</v>
      </c>
      <c r="R29" s="96" t="str">
        <f t="shared" ref="R29:AD29" si="126">R16+R28</f>
        <v>  2.1 </v>
      </c>
      <c r="S29" s="96" t="str">
        <f t="shared" si="126"/>
        <v>  8.1 </v>
      </c>
      <c r="T29" s="96" t="str">
        <f t="shared" si="126"/>
        <v>  6.9 </v>
      </c>
      <c r="U29" s="96" t="str">
        <f t="shared" si="126"/>
        <v>  10.9 </v>
      </c>
      <c r="V29" s="96" t="str">
        <f t="shared" si="126"/>
        <v>  5.0 </v>
      </c>
      <c r="W29" s="96" t="str">
        <f t="shared" si="126"/>
        <v>  9.4 </v>
      </c>
      <c r="X29" s="96" t="str">
        <f t="shared" si="126"/>
        <v>  9.3 </v>
      </c>
      <c r="Y29" s="96" t="str">
        <f t="shared" si="126"/>
        <v>  11.7 </v>
      </c>
      <c r="Z29" s="96" t="str">
        <f t="shared" si="126"/>
        <v>  11.9 </v>
      </c>
      <c r="AA29" s="96" t="str">
        <f t="shared" si="126"/>
        <v>  10.4 </v>
      </c>
      <c r="AB29" s="96" t="str">
        <f t="shared" si="126"/>
        <v>  25.4 </v>
      </c>
      <c r="AC29" s="96" t="str">
        <f t="shared" si="126"/>
        <v>  (12.2)</v>
      </c>
      <c r="AD29" s="96" t="str">
        <f t="shared" si="126"/>
        <v>  99.0 </v>
      </c>
      <c r="AF29" s="95" t="s">
        <v>50</v>
      </c>
      <c r="AG29" s="96" t="str">
        <f t="shared" ref="AG29:AS29" si="127">AG16+AG28</f>
        <v>  2.5 </v>
      </c>
      <c r="AH29" s="96" t="str">
        <f t="shared" si="127"/>
        <v>  2.2 </v>
      </c>
      <c r="AI29" s="96" t="str">
        <f t="shared" si="127"/>
        <v>  2.2 </v>
      </c>
      <c r="AJ29" s="96" t="str">
        <f t="shared" si="127"/>
        <v>  4.7 </v>
      </c>
      <c r="AK29" s="96" t="str">
        <f t="shared" si="127"/>
        <v>  9.3 </v>
      </c>
      <c r="AL29" s="96" t="str">
        <f t="shared" si="127"/>
        <v>  8.5 </v>
      </c>
      <c r="AM29" s="96" t="str">
        <f t="shared" si="127"/>
        <v>  6.4 </v>
      </c>
      <c r="AN29" s="96" t="str">
        <f t="shared" si="127"/>
        <v>  12.3 </v>
      </c>
      <c r="AO29" s="96" t="str">
        <f t="shared" si="127"/>
        <v>  13.2 </v>
      </c>
      <c r="AP29" s="96" t="str">
        <f t="shared" si="127"/>
        <v>  13.5 </v>
      </c>
      <c r="AQ29" s="96" t="str">
        <f t="shared" si="127"/>
        <v>  15.2 </v>
      </c>
      <c r="AR29" s="96" t="str">
        <f t="shared" si="127"/>
        <v>  27.6 </v>
      </c>
      <c r="AS29" s="96" t="str">
        <f t="shared" si="127"/>
        <v>  117.6 </v>
      </c>
      <c r="AU29" s="95" t="s">
        <v>50</v>
      </c>
      <c r="AV29" s="96" t="str">
        <f t="shared" ref="AV29:BH29" si="128">AV16+AV28</f>
        <v>#REF!</v>
      </c>
      <c r="AW29" s="96" t="str">
        <f t="shared" si="128"/>
        <v>#REF!</v>
      </c>
      <c r="AX29" s="96" t="str">
        <f t="shared" si="128"/>
        <v>#REF!</v>
      </c>
      <c r="AY29" s="96" t="str">
        <f t="shared" si="128"/>
        <v>#REF!</v>
      </c>
      <c r="AZ29" s="96" t="str">
        <f t="shared" si="128"/>
        <v>#ERROR!</v>
      </c>
      <c r="BA29" s="96" t="str">
        <f t="shared" si="128"/>
        <v>#ERROR!</v>
      </c>
      <c r="BB29" s="96" t="str">
        <f t="shared" si="128"/>
        <v>#ERROR!</v>
      </c>
      <c r="BC29" s="96" t="str">
        <f t="shared" si="128"/>
        <v>#ERROR!</v>
      </c>
      <c r="BD29" s="96" t="str">
        <f t="shared" si="128"/>
        <v>#ERROR!</v>
      </c>
      <c r="BE29" s="96" t="str">
        <f t="shared" si="128"/>
        <v>#ERROR!</v>
      </c>
      <c r="BF29" s="96" t="str">
        <f t="shared" si="128"/>
        <v>#ERROR!</v>
      </c>
      <c r="BG29" s="96" t="str">
        <f t="shared" si="128"/>
        <v>#ERROR!</v>
      </c>
      <c r="BH29" s="96" t="str">
        <f t="shared" si="128"/>
        <v>#REF!</v>
      </c>
      <c r="BK29" s="80" t="str">
        <f>BK16+BK28</f>
        <v>  99.0 </v>
      </c>
      <c r="BL29" s="82" t="str">
        <f t="shared" si="14"/>
        <v>12%</v>
      </c>
      <c r="BM29" s="80" t="str">
        <f>BM16+BM28</f>
        <v>  117.6 </v>
      </c>
      <c r="BN29" s="105" t="str">
        <f t="shared" si="16"/>
        <v>21.0%</v>
      </c>
      <c r="BO29" s="83" t="str">
        <f>BO16+BO28</f>
        <v>#REF!</v>
      </c>
      <c r="BP29" s="106" t="str">
        <f t="shared" si="18"/>
        <v>0.0%</v>
      </c>
      <c r="BQ29" s="85" t="s">
        <v>51</v>
      </c>
      <c r="BR29" s="80" t="str">
        <f t="shared" si="19"/>
        <v>#REF!</v>
      </c>
      <c r="BS29" s="82" t="str">
        <f t="shared" si="20"/>
        <v>#REF!</v>
      </c>
      <c r="BT29" s="80" t="str">
        <f t="shared" si="21"/>
        <v>#REF!</v>
      </c>
      <c r="BU29" s="82" t="str">
        <f t="shared" si="22"/>
        <v>#REF!</v>
      </c>
    </row>
    <row r="30" ht="15.75" customHeight="1">
      <c r="B30" s="86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Q30" s="86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F30" s="86"/>
      <c r="AG30" s="87"/>
      <c r="AH30" s="87"/>
      <c r="AI30" s="87"/>
      <c r="AJ30" s="87"/>
      <c r="AK30" s="87"/>
      <c r="AL30" s="87"/>
      <c r="AM30" s="87"/>
      <c r="AN30" s="87"/>
      <c r="AO30" s="87"/>
      <c r="AP30" s="87"/>
      <c r="AQ30" s="87"/>
      <c r="AR30" s="87"/>
      <c r="AS30" s="87"/>
      <c r="AU30" s="86"/>
      <c r="AV30" s="87"/>
      <c r="AW30" s="87"/>
      <c r="AX30" s="87"/>
      <c r="AY30" s="87"/>
      <c r="AZ30" s="87"/>
      <c r="BA30" s="87"/>
      <c r="BB30" s="87"/>
      <c r="BC30" s="87"/>
      <c r="BD30" s="87"/>
      <c r="BE30" s="87"/>
      <c r="BF30" s="87"/>
      <c r="BG30" s="87"/>
      <c r="BH30" s="87"/>
    </row>
    <row r="31" ht="15.75" customHeight="1">
      <c r="B31" s="59" t="s">
        <v>52</v>
      </c>
      <c r="C31" s="88" t="str">
        <f t="shared" ref="C31:O31" si="129">C29/C8</f>
        <v>6%</v>
      </c>
      <c r="D31" s="88" t="str">
        <f t="shared" si="129"/>
        <v>7%</v>
      </c>
      <c r="E31" s="88" t="str">
        <f t="shared" si="129"/>
        <v>14%</v>
      </c>
      <c r="F31" s="88" t="str">
        <f t="shared" si="129"/>
        <v>(1%)</v>
      </c>
      <c r="G31" s="88" t="str">
        <f t="shared" si="129"/>
        <v>22%</v>
      </c>
      <c r="H31" s="88" t="str">
        <f t="shared" si="129"/>
        <v>7%</v>
      </c>
      <c r="I31" s="88" t="str">
        <f t="shared" si="129"/>
        <v>14%</v>
      </c>
      <c r="J31" s="88" t="str">
        <f t="shared" si="129"/>
        <v>15%</v>
      </c>
      <c r="K31" s="88" t="str">
        <f t="shared" si="129"/>
        <v>13%</v>
      </c>
      <c r="L31" s="88" t="str">
        <f t="shared" si="129"/>
        <v>14%</v>
      </c>
      <c r="M31" s="88" t="str">
        <f t="shared" si="129"/>
        <v>13%</v>
      </c>
      <c r="N31" s="88" t="str">
        <f t="shared" si="129"/>
        <v>19%</v>
      </c>
      <c r="O31" s="88" t="str">
        <f t="shared" si="129"/>
        <v>13%</v>
      </c>
      <c r="Q31" s="59" t="s">
        <v>52</v>
      </c>
      <c r="R31" s="88" t="str">
        <f t="shared" ref="R31:AD31" si="130">R29/R8</f>
        <v>4%</v>
      </c>
      <c r="S31" s="88" t="str">
        <f t="shared" si="130"/>
        <v>13%</v>
      </c>
      <c r="T31" s="88" t="str">
        <f t="shared" si="130"/>
        <v>11%</v>
      </c>
      <c r="U31" s="88" t="str">
        <f t="shared" si="130"/>
        <v>16%</v>
      </c>
      <c r="V31" s="88" t="str">
        <f t="shared" si="130"/>
        <v>8%</v>
      </c>
      <c r="W31" s="88" t="str">
        <f t="shared" si="130"/>
        <v>14%</v>
      </c>
      <c r="X31" s="88" t="str">
        <f t="shared" si="130"/>
        <v>13%</v>
      </c>
      <c r="Y31" s="88" t="str">
        <f t="shared" si="130"/>
        <v>15%</v>
      </c>
      <c r="Z31" s="88" t="str">
        <f t="shared" si="130"/>
        <v>15%</v>
      </c>
      <c r="AA31" s="88" t="str">
        <f t="shared" si="130"/>
        <v>16%</v>
      </c>
      <c r="AB31" s="88" t="str">
        <f t="shared" si="130"/>
        <v>29%</v>
      </c>
      <c r="AC31" s="88" t="str">
        <f t="shared" si="130"/>
        <v>(16%)</v>
      </c>
      <c r="AD31" s="88" t="str">
        <f t="shared" si="130"/>
        <v>12%</v>
      </c>
      <c r="AF31" s="59" t="s">
        <v>52</v>
      </c>
      <c r="AG31" s="88" t="str">
        <f t="shared" ref="AG31:AS31" si="131">AG29/AG8</f>
        <v>8%</v>
      </c>
      <c r="AH31" s="88" t="str">
        <f t="shared" si="131"/>
        <v>7%</v>
      </c>
      <c r="AI31" s="88" t="str">
        <f t="shared" si="131"/>
        <v>8%</v>
      </c>
      <c r="AJ31" s="88" t="str">
        <f t="shared" si="131"/>
        <v>14%</v>
      </c>
      <c r="AK31" s="88" t="str">
        <f t="shared" si="131"/>
        <v>20%</v>
      </c>
      <c r="AL31" s="88" t="str">
        <f t="shared" si="131"/>
        <v>20%</v>
      </c>
      <c r="AM31" s="88" t="str">
        <f t="shared" si="131"/>
        <v>18%</v>
      </c>
      <c r="AN31" s="88" t="str">
        <f t="shared" si="131"/>
        <v>24%</v>
      </c>
      <c r="AO31" s="88" t="str">
        <f t="shared" si="131"/>
        <v>24%</v>
      </c>
      <c r="AP31" s="88" t="str">
        <f t="shared" si="131"/>
        <v>24%</v>
      </c>
      <c r="AQ31" s="88" t="str">
        <f t="shared" si="131"/>
        <v>25%</v>
      </c>
      <c r="AR31" s="88" t="str">
        <f t="shared" si="131"/>
        <v>30%</v>
      </c>
      <c r="AS31" s="88" t="str">
        <f t="shared" si="131"/>
        <v>21%</v>
      </c>
      <c r="AU31" s="59" t="s">
        <v>52</v>
      </c>
      <c r="AV31" s="88" t="str">
        <f t="shared" ref="AV31:BH31" si="132">AV29/AV8</f>
        <v>#REF!</v>
      </c>
      <c r="AW31" s="88" t="str">
        <f t="shared" si="132"/>
        <v>#REF!</v>
      </c>
      <c r="AX31" s="88" t="str">
        <f t="shared" si="132"/>
        <v>#REF!</v>
      </c>
      <c r="AY31" s="88" t="str">
        <f t="shared" si="132"/>
        <v>#REF!</v>
      </c>
      <c r="AZ31" s="88" t="str">
        <f t="shared" si="132"/>
        <v>#ERROR!</v>
      </c>
      <c r="BA31" s="88" t="str">
        <f t="shared" si="132"/>
        <v>#ERROR!</v>
      </c>
      <c r="BB31" s="88" t="str">
        <f t="shared" si="132"/>
        <v>#ERROR!</v>
      </c>
      <c r="BC31" s="88" t="str">
        <f t="shared" si="132"/>
        <v>#ERROR!</v>
      </c>
      <c r="BD31" s="88" t="str">
        <f t="shared" si="132"/>
        <v>#ERROR!</v>
      </c>
      <c r="BE31" s="88" t="str">
        <f t="shared" si="132"/>
        <v>#ERROR!</v>
      </c>
      <c r="BF31" s="88" t="str">
        <f t="shared" si="132"/>
        <v>#ERROR!</v>
      </c>
      <c r="BG31" s="88" t="str">
        <f t="shared" si="132"/>
        <v>#ERROR!</v>
      </c>
      <c r="BH31" s="88" t="str">
        <f t="shared" si="132"/>
        <v>#REF!</v>
      </c>
    </row>
    <row r="32" ht="15.75" customHeight="1"/>
    <row r="33" ht="15.75" customHeight="1">
      <c r="O33" s="107" t="str">
        <f>+O56+O84</f>
        <v>  103.82 </v>
      </c>
      <c r="AD33" s="107" t="str">
        <f>+AD56+AD84</f>
        <v>  98.99 </v>
      </c>
      <c r="AS33" s="107" t="str">
        <f>+AS56+AS84</f>
        <v>  117.60 </v>
      </c>
      <c r="BH33" s="108" t="str">
        <f>+BH56+BH84</f>
        <v>#REF!</v>
      </c>
    </row>
    <row r="34" ht="15.75" customHeight="1">
      <c r="N34" t="s">
        <v>69</v>
      </c>
      <c r="O34" s="107" t="str">
        <f>+O29-O33</f>
        <v>  0.00 </v>
      </c>
      <c r="AC34" t="s">
        <v>69</v>
      </c>
      <c r="AD34" s="107" t="str">
        <f>+AD29-AD33</f>
        <v>- 0.00 </v>
      </c>
      <c r="AR34" t="s">
        <v>69</v>
      </c>
      <c r="AS34" s="107" t="str">
        <f>+AS29-AS33</f>
        <v>- 0.00 </v>
      </c>
      <c r="BG34" t="s">
        <v>69</v>
      </c>
      <c r="BH34" s="107" t="str">
        <f>+BH29-BH33</f>
        <v>#REF!</v>
      </c>
    </row>
    <row r="35" ht="15.75" customHeight="1">
      <c r="B35" s="2" t="s">
        <v>70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2" t="s">
        <v>71</v>
      </c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F35" s="2" t="s">
        <v>20</v>
      </c>
      <c r="AU35" s="2" t="s">
        <v>72</v>
      </c>
    </row>
    <row r="36" ht="15.75" customHeight="1"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Q36" s="24"/>
      <c r="R36" s="24"/>
      <c r="S36" s="24"/>
      <c r="T36" s="24"/>
      <c r="U36" s="24"/>
      <c r="V36" s="24"/>
      <c r="W36" s="24"/>
      <c r="X36" s="24"/>
      <c r="Y36" s="24"/>
      <c r="Z36" s="51"/>
      <c r="AA36" s="24"/>
      <c r="AB36" s="24"/>
      <c r="AC36" s="24"/>
      <c r="AD36" s="24"/>
    </row>
    <row r="37" ht="15.75" customHeight="1"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24"/>
      <c r="R37" s="24"/>
      <c r="S37" s="24"/>
      <c r="T37" s="24"/>
      <c r="U37" s="24"/>
      <c r="V37" s="24"/>
      <c r="W37" s="24"/>
      <c r="X37" s="24"/>
      <c r="Y37" s="24"/>
      <c r="Z37" s="12"/>
      <c r="AA37" s="24"/>
      <c r="AB37" s="24"/>
      <c r="AC37" s="24"/>
      <c r="AD37" s="24"/>
      <c r="AV37">
        <v>2.0</v>
      </c>
      <c r="AW37">
        <v>3.0</v>
      </c>
      <c r="AX37">
        <v>4.0</v>
      </c>
      <c r="AY37">
        <v>5.0</v>
      </c>
      <c r="AZ37">
        <v>6.0</v>
      </c>
      <c r="BA37">
        <v>7.0</v>
      </c>
      <c r="BB37">
        <v>8.0</v>
      </c>
      <c r="BC37">
        <v>9.0</v>
      </c>
      <c r="BD37">
        <v>10.0</v>
      </c>
      <c r="BE37">
        <v>11.0</v>
      </c>
      <c r="BF37">
        <v>12.0</v>
      </c>
      <c r="BG37">
        <v>13.0</v>
      </c>
    </row>
    <row r="38" ht="15.75" customHeight="1">
      <c r="B38" s="100" t="s">
        <v>61</v>
      </c>
      <c r="C38" s="101">
        <v>45292.0</v>
      </c>
      <c r="D38" s="101">
        <v>45323.0</v>
      </c>
      <c r="E38" s="101">
        <v>45352.0</v>
      </c>
      <c r="F38" s="101">
        <v>45383.0</v>
      </c>
      <c r="G38" s="101">
        <v>45413.0</v>
      </c>
      <c r="H38" s="101">
        <v>45444.0</v>
      </c>
      <c r="I38" s="101">
        <v>45474.0</v>
      </c>
      <c r="J38" s="101">
        <v>45505.0</v>
      </c>
      <c r="K38" s="101">
        <v>45536.0</v>
      </c>
      <c r="L38" s="101">
        <v>45566.0</v>
      </c>
      <c r="M38" s="101">
        <v>45597.0</v>
      </c>
      <c r="N38" s="101">
        <v>45627.0</v>
      </c>
      <c r="O38" s="102" t="s">
        <v>19</v>
      </c>
      <c r="Q38" s="100" t="s">
        <v>21</v>
      </c>
      <c r="R38" s="101">
        <v>45658.0</v>
      </c>
      <c r="S38" s="101">
        <v>45689.0</v>
      </c>
      <c r="T38" s="101">
        <v>45717.0</v>
      </c>
      <c r="U38" s="101">
        <v>45748.0</v>
      </c>
      <c r="V38" s="101">
        <v>45778.0</v>
      </c>
      <c r="W38" s="101">
        <v>45809.0</v>
      </c>
      <c r="X38" s="101">
        <v>45839.0</v>
      </c>
      <c r="Y38" s="101">
        <v>45870.0</v>
      </c>
      <c r="Z38" s="101">
        <v>45901.0</v>
      </c>
      <c r="AA38" s="101">
        <v>45931.0</v>
      </c>
      <c r="AB38" s="101">
        <v>45962.0</v>
      </c>
      <c r="AC38" s="101">
        <v>45992.0</v>
      </c>
      <c r="AD38" s="102" t="s">
        <v>19</v>
      </c>
      <c r="AF38" s="100" t="s">
        <v>53</v>
      </c>
      <c r="AG38" s="101">
        <v>46023.0</v>
      </c>
      <c r="AH38" s="101">
        <v>46054.0</v>
      </c>
      <c r="AI38" s="101">
        <v>46082.0</v>
      </c>
      <c r="AJ38" s="101">
        <v>46113.0</v>
      </c>
      <c r="AK38" s="101">
        <v>46143.0</v>
      </c>
      <c r="AL38" s="101">
        <v>46174.0</v>
      </c>
      <c r="AM38" s="101">
        <v>46204.0</v>
      </c>
      <c r="AN38" s="101">
        <v>46235.0</v>
      </c>
      <c r="AO38" s="101">
        <v>46266.0</v>
      </c>
      <c r="AP38" s="101">
        <v>46296.0</v>
      </c>
      <c r="AQ38" s="101">
        <v>46327.0</v>
      </c>
      <c r="AR38" s="101">
        <v>46357.0</v>
      </c>
      <c r="AS38" s="102" t="s">
        <v>19</v>
      </c>
      <c r="AU38" s="41" t="s">
        <v>62</v>
      </c>
      <c r="AV38" s="42">
        <v>46023.0</v>
      </c>
      <c r="AW38" s="42">
        <v>46054.0</v>
      </c>
      <c r="AX38" s="42">
        <v>46082.0</v>
      </c>
      <c r="AY38" s="42">
        <v>46113.0</v>
      </c>
      <c r="AZ38" s="43">
        <v>46143.0</v>
      </c>
      <c r="BA38" s="43">
        <v>46174.0</v>
      </c>
      <c r="BB38" s="43">
        <v>46204.0</v>
      </c>
      <c r="BC38" s="43">
        <v>46235.0</v>
      </c>
      <c r="BD38" s="43">
        <v>46266.0</v>
      </c>
      <c r="BE38" s="43">
        <v>46296.0</v>
      </c>
      <c r="BF38" s="43">
        <v>46327.0</v>
      </c>
      <c r="BG38" s="43">
        <v>46357.0</v>
      </c>
      <c r="BH38" s="44" t="s">
        <v>19</v>
      </c>
    </row>
    <row r="39" ht="15.75" customHeight="1">
      <c r="B39" s="50" t="s">
        <v>30</v>
      </c>
      <c r="C39" s="51">
        <v>13.905133</v>
      </c>
      <c r="D39" s="51">
        <v>20.128183</v>
      </c>
      <c r="E39" s="51">
        <v>26.69436226</v>
      </c>
      <c r="F39" s="51">
        <v>39.27929109</v>
      </c>
      <c r="G39" s="51">
        <v>34.67410537</v>
      </c>
      <c r="H39" s="51">
        <v>45.60117032</v>
      </c>
      <c r="I39" s="51">
        <v>29.4850422</v>
      </c>
      <c r="J39" s="51">
        <v>40.744090868</v>
      </c>
      <c r="K39" s="51">
        <v>31.496351</v>
      </c>
      <c r="L39" s="51">
        <v>46.978771</v>
      </c>
      <c r="M39" s="51">
        <v>70.110272886</v>
      </c>
      <c r="N39" s="51">
        <v>47.99274301</v>
      </c>
      <c r="O39" s="51" t="str">
        <f t="shared" ref="O39:O40" si="133">+SUM(C39:N39)</f>
        <v>  447.1 </v>
      </c>
      <c r="Q39" s="50" t="s">
        <v>30</v>
      </c>
      <c r="R39" s="51">
        <v>22.64386931</v>
      </c>
      <c r="S39" s="51">
        <v>28.2080329655546</v>
      </c>
      <c r="T39" s="51">
        <v>29.08307809</v>
      </c>
      <c r="U39" s="51">
        <v>28.452118</v>
      </c>
      <c r="V39" s="51">
        <v>28.814172999999997</v>
      </c>
      <c r="W39" s="51">
        <v>31.90132</v>
      </c>
      <c r="X39" s="51">
        <v>24.978855</v>
      </c>
      <c r="Y39" s="51">
        <v>38.06265853</v>
      </c>
      <c r="Z39" s="51">
        <v>42.616382</v>
      </c>
      <c r="AA39" s="51">
        <v>45.365613</v>
      </c>
      <c r="AB39" s="51">
        <v>77.95617956275859</v>
      </c>
      <c r="AC39" s="51">
        <v>66.24577178</v>
      </c>
      <c r="AD39" s="51" t="str">
        <f t="shared" ref="AD39:AD40" si="134">+SUM(R39:AC39)</f>
        <v>  464.3 </v>
      </c>
      <c r="AF39" s="50" t="s">
        <v>30</v>
      </c>
      <c r="AG39" s="51">
        <v>24.12836015992808</v>
      </c>
      <c r="AH39" s="51">
        <v>23.935513901275787</v>
      </c>
      <c r="AI39" s="51">
        <v>21.375944688495167</v>
      </c>
      <c r="AJ39" s="51">
        <v>27.733582762744273</v>
      </c>
      <c r="AK39" s="51">
        <v>38.23500087947077</v>
      </c>
      <c r="AL39" s="51">
        <v>33.598167798601395</v>
      </c>
      <c r="AM39" s="51">
        <v>28.65167183220311</v>
      </c>
      <c r="AN39" s="51">
        <v>42.11801262151121</v>
      </c>
      <c r="AO39" s="51">
        <v>41.659580279248814</v>
      </c>
      <c r="AP39" s="51">
        <v>40.01748809484131</v>
      </c>
      <c r="AQ39" s="51">
        <v>41.8152975977926</v>
      </c>
      <c r="AR39" s="51">
        <v>73.25522382040127</v>
      </c>
      <c r="AS39" s="51" t="str">
        <f t="shared" ref="AS39:AS40" si="135">+SUM(AG39:AR39)</f>
        <v>  436.5 </v>
      </c>
      <c r="AU39" s="50" t="s">
        <v>30</v>
      </c>
      <c r="AV39" s="51" t="str">
        <f>VLOOKUP($AU39,'MKT UNITED 26'!$B$4:$O$22,'Mkt United + Troader 26'!AV$37,0)</f>
        <v>  12.4 </v>
      </c>
      <c r="AW39" s="51" t="str">
        <f>VLOOKUP($AU39,'MKT UNITED 26'!$B$4:$O$22,'Mkt United + Troader 26'!AW$37,0)</f>
        <v>  29.3 </v>
      </c>
      <c r="AX39" s="51" t="str">
        <f>VLOOKUP($AU39,'MKT UNITED 26'!$B$4:$O$22,'Mkt United + Troader 26'!AX$37,0)</f>
        <v>  24.1 </v>
      </c>
      <c r="AY39" s="51" t="str">
        <f>VLOOKUP($AU39,'MKT UNITED 26'!$B$4:$O$22,'Mkt United + Troader 26'!AY$37,0)</f>
        <v>  37.7 </v>
      </c>
      <c r="AZ39" s="51">
        <v>37.0</v>
      </c>
      <c r="BA39" s="51">
        <v>29.0</v>
      </c>
      <c r="BB39" s="51">
        <v>26.22405092175</v>
      </c>
      <c r="BC39" s="51">
        <v>39.9600820577205</v>
      </c>
      <c r="BD39" s="51">
        <v>44.7408086427</v>
      </c>
      <c r="BE39" s="51">
        <v>40.0</v>
      </c>
      <c r="BF39" s="51">
        <v>75.0</v>
      </c>
      <c r="BG39" s="51">
        <v>66.0</v>
      </c>
      <c r="BH39" s="51" t="str">
        <f t="shared" ref="BH39:BH40" si="136">+SUM(AV39:BG39)</f>
        <v>  461.4 </v>
      </c>
    </row>
    <row r="40" ht="15.75" customHeight="1">
      <c r="B40" s="50" t="s">
        <v>31</v>
      </c>
      <c r="C40" s="51">
        <v>3.37285721</v>
      </c>
      <c r="D40" s="51">
        <v>3.68028531</v>
      </c>
      <c r="E40" s="51">
        <v>2.33886932</v>
      </c>
      <c r="F40" s="51">
        <v>0.45106288</v>
      </c>
      <c r="G40" s="51">
        <v>1.30196073</v>
      </c>
      <c r="H40" s="51">
        <v>1.07753857</v>
      </c>
      <c r="I40" s="51">
        <v>0.1778911</v>
      </c>
      <c r="J40" s="51">
        <v>0.67767933</v>
      </c>
      <c r="K40" s="51">
        <v>1.00542992</v>
      </c>
      <c r="L40" s="51">
        <v>1.2071059</v>
      </c>
      <c r="M40" s="51">
        <v>1.75990891</v>
      </c>
      <c r="N40" s="51">
        <v>0.13401321</v>
      </c>
      <c r="O40" s="51" t="str">
        <f t="shared" si="133"/>
        <v>  17.2 </v>
      </c>
      <c r="Q40" s="50" t="s">
        <v>31</v>
      </c>
      <c r="R40" s="51">
        <v>0.4249346</v>
      </c>
      <c r="S40" s="51">
        <v>0.272071</v>
      </c>
      <c r="T40" s="51">
        <v>3.20367939</v>
      </c>
      <c r="U40" s="51">
        <v>2.47942173</v>
      </c>
      <c r="V40" s="51">
        <v>2.531593</v>
      </c>
      <c r="W40" s="51">
        <v>1.585664</v>
      </c>
      <c r="X40" s="51">
        <v>1.6333018</v>
      </c>
      <c r="Y40" s="51">
        <v>1.17600143</v>
      </c>
      <c r="Z40" s="51">
        <v>0.662047</v>
      </c>
      <c r="AA40" s="51">
        <v>0.580231</v>
      </c>
      <c r="AB40" s="51">
        <v>1.5443168799999998</v>
      </c>
      <c r="AC40" s="51">
        <v>2.24654498</v>
      </c>
      <c r="AD40" s="51" t="str">
        <f t="shared" si="134"/>
        <v>  18.3 </v>
      </c>
      <c r="AF40" s="50" t="s">
        <v>31</v>
      </c>
      <c r="AG40" s="51">
        <v>1.003597925293145</v>
      </c>
      <c r="AH40" s="51">
        <v>1.5853299819821358</v>
      </c>
      <c r="AI40" s="51">
        <v>2.3324668650751526</v>
      </c>
      <c r="AJ40" s="51">
        <v>2.716218577311486</v>
      </c>
      <c r="AK40" s="51">
        <v>3.4036958112601208</v>
      </c>
      <c r="AL40" s="51">
        <v>2.6425152754927552</v>
      </c>
      <c r="AM40" s="51">
        <v>3.0059343606396265</v>
      </c>
      <c r="AN40" s="51">
        <v>4.153739818262229</v>
      </c>
      <c r="AO40" s="51">
        <v>6.81412534617074</v>
      </c>
      <c r="AP40" s="51">
        <v>10.714125346170741</v>
      </c>
      <c r="AQ40" s="51">
        <v>13.314125346170743</v>
      </c>
      <c r="AR40" s="51">
        <v>13.314125346170743</v>
      </c>
      <c r="AS40" s="51" t="str">
        <f t="shared" si="135"/>
        <v>  65.0 </v>
      </c>
      <c r="AU40" s="50" t="s">
        <v>31</v>
      </c>
      <c r="AV40" s="51" t="str">
        <f>VLOOKUP($AU40,'MKT UNITED 26'!$B$4:$O$22,'Mkt United + Troader 26'!AV$37,0)</f>
        <v>  4.7 </v>
      </c>
      <c r="AW40" s="51" t="str">
        <f>VLOOKUP($AU40,'MKT UNITED 26'!$B$4:$O$22,'Mkt United + Troader 26'!AW$37,0)</f>
        <v>  3.0 </v>
      </c>
      <c r="AX40" s="51" t="str">
        <f>VLOOKUP($AU40,'MKT UNITED 26'!$B$4:$O$22,'Mkt United + Troader 26'!AX$37,0)</f>
        <v>  0.7 </v>
      </c>
      <c r="AY40" s="51" t="str">
        <f>VLOOKUP($AU40,'MKT UNITED 26'!$B$4:$O$22,'Mkt United + Troader 26'!AY$37,0)</f>
        <v>  2.3 </v>
      </c>
      <c r="AZ40" s="51">
        <v>4.5621288600000005</v>
      </c>
      <c r="BA40" s="51">
        <v>7.766372</v>
      </c>
      <c r="BB40" s="51">
        <v>4.126372</v>
      </c>
      <c r="BC40" s="51">
        <v>0.126372</v>
      </c>
      <c r="BD40" s="51">
        <v>0.126372</v>
      </c>
      <c r="BE40" s="51">
        <v>3.726372</v>
      </c>
      <c r="BF40" s="51">
        <v>0.126372</v>
      </c>
      <c r="BG40" s="51">
        <v>0.126372</v>
      </c>
      <c r="BH40" s="51" t="str">
        <f t="shared" si="136"/>
        <v>  31.3 </v>
      </c>
    </row>
    <row r="41" ht="15.75" customHeight="1">
      <c r="B41" s="59" t="s">
        <v>32</v>
      </c>
      <c r="C41" s="60" t="str">
        <f t="shared" ref="C41:D41" si="137">C39+C40</f>
        <v>  17.3 </v>
      </c>
      <c r="D41" s="60" t="str">
        <f t="shared" si="137"/>
        <v>  23.8 </v>
      </c>
      <c r="E41" s="60" t="str">
        <f t="shared" ref="E41:O41" si="138">E40+E39</f>
        <v>  29.0 </v>
      </c>
      <c r="F41" s="60" t="str">
        <f t="shared" si="138"/>
        <v>  39.7 </v>
      </c>
      <c r="G41" s="60" t="str">
        <f t="shared" si="138"/>
        <v>  36.0 </v>
      </c>
      <c r="H41" s="60" t="str">
        <f t="shared" si="138"/>
        <v>  46.7 </v>
      </c>
      <c r="I41" s="60" t="str">
        <f t="shared" si="138"/>
        <v>  29.7 </v>
      </c>
      <c r="J41" s="60" t="str">
        <f t="shared" si="138"/>
        <v>  41.4 </v>
      </c>
      <c r="K41" s="60" t="str">
        <f t="shared" si="138"/>
        <v>  32.5 </v>
      </c>
      <c r="L41" s="60" t="str">
        <f t="shared" si="138"/>
        <v>  48.2 </v>
      </c>
      <c r="M41" s="60" t="str">
        <f t="shared" si="138"/>
        <v>  71.9 </v>
      </c>
      <c r="N41" s="60" t="str">
        <f t="shared" si="138"/>
        <v>  48.1 </v>
      </c>
      <c r="O41" s="60" t="str">
        <f t="shared" si="138"/>
        <v>  464.3 </v>
      </c>
      <c r="Q41" s="59" t="s">
        <v>32</v>
      </c>
      <c r="R41" s="60" t="str">
        <f t="shared" ref="R41:S41" si="139">R39+R40</f>
        <v>  23.1 </v>
      </c>
      <c r="S41" s="60" t="str">
        <f t="shared" si="139"/>
        <v>  28.5 </v>
      </c>
      <c r="T41" s="60" t="str">
        <f t="shared" ref="T41:AD41" si="140">T40+T39</f>
        <v>  32.3 </v>
      </c>
      <c r="U41" s="60" t="str">
        <f t="shared" si="140"/>
        <v>  30.9 </v>
      </c>
      <c r="V41" s="60" t="str">
        <f t="shared" si="140"/>
        <v>  31.3 </v>
      </c>
      <c r="W41" s="60" t="str">
        <f t="shared" si="140"/>
        <v>  33.5 </v>
      </c>
      <c r="X41" s="60" t="str">
        <f t="shared" si="140"/>
        <v>  26.6 </v>
      </c>
      <c r="Y41" s="60" t="str">
        <f t="shared" si="140"/>
        <v>  39.2 </v>
      </c>
      <c r="Z41" s="60" t="str">
        <f t="shared" si="140"/>
        <v>  43.3 </v>
      </c>
      <c r="AA41" s="60" t="str">
        <f t="shared" si="140"/>
        <v>  45.9 </v>
      </c>
      <c r="AB41" s="60" t="str">
        <f t="shared" si="140"/>
        <v>  79.5 </v>
      </c>
      <c r="AC41" s="60" t="str">
        <f t="shared" si="140"/>
        <v>  68.5 </v>
      </c>
      <c r="AD41" s="60" t="str">
        <f t="shared" si="140"/>
        <v>  482.7 </v>
      </c>
      <c r="AF41" s="59" t="s">
        <v>32</v>
      </c>
      <c r="AG41" s="60" t="str">
        <f t="shared" ref="AG41:AH41" si="141">AG39+AG40</f>
        <v>  25.1 </v>
      </c>
      <c r="AH41" s="60" t="str">
        <f t="shared" si="141"/>
        <v>  25.5 </v>
      </c>
      <c r="AI41" s="60" t="str">
        <f t="shared" ref="AI41:AS41" si="142">AI40+AI39</f>
        <v>  23.7 </v>
      </c>
      <c r="AJ41" s="60" t="str">
        <f t="shared" si="142"/>
        <v>  30.4 </v>
      </c>
      <c r="AK41" s="60" t="str">
        <f t="shared" si="142"/>
        <v>  41.6 </v>
      </c>
      <c r="AL41" s="60" t="str">
        <f t="shared" si="142"/>
        <v>  36.2 </v>
      </c>
      <c r="AM41" s="60" t="str">
        <f t="shared" si="142"/>
        <v>  31.7 </v>
      </c>
      <c r="AN41" s="60" t="str">
        <f t="shared" si="142"/>
        <v>  46.3 </v>
      </c>
      <c r="AO41" s="60" t="str">
        <f t="shared" si="142"/>
        <v>  48.5 </v>
      </c>
      <c r="AP41" s="60" t="str">
        <f t="shared" si="142"/>
        <v>  50.7 </v>
      </c>
      <c r="AQ41" s="60" t="str">
        <f t="shared" si="142"/>
        <v>  55.1 </v>
      </c>
      <c r="AR41" s="60" t="str">
        <f t="shared" si="142"/>
        <v>  86.6 </v>
      </c>
      <c r="AS41" s="60" t="str">
        <f t="shared" si="142"/>
        <v>  501.5 </v>
      </c>
      <c r="AU41" s="59" t="s">
        <v>32</v>
      </c>
      <c r="AV41" s="60" t="str">
        <f t="shared" ref="AV41:AW41" si="143">AV39+AV40</f>
        <v>  17.1 </v>
      </c>
      <c r="AW41" s="60" t="str">
        <f t="shared" si="143"/>
        <v>  32.3 </v>
      </c>
      <c r="AX41" s="60" t="str">
        <f t="shared" ref="AX41:BH41" si="144">AX40+AX39</f>
        <v>  24.7 </v>
      </c>
      <c r="AY41" s="60" t="str">
        <f t="shared" si="144"/>
        <v>  40.0 </v>
      </c>
      <c r="AZ41" s="60" t="str">
        <f t="shared" si="144"/>
        <v>  41.6 </v>
      </c>
      <c r="BA41" s="60" t="str">
        <f t="shared" si="144"/>
        <v>  36.8 </v>
      </c>
      <c r="BB41" s="60" t="str">
        <f t="shared" si="144"/>
        <v>  30.4 </v>
      </c>
      <c r="BC41" s="60" t="str">
        <f t="shared" si="144"/>
        <v>  40.1 </v>
      </c>
      <c r="BD41" s="60" t="str">
        <f t="shared" si="144"/>
        <v>  44.9 </v>
      </c>
      <c r="BE41" s="60" t="str">
        <f t="shared" si="144"/>
        <v>  43.7 </v>
      </c>
      <c r="BF41" s="60" t="str">
        <f t="shared" si="144"/>
        <v>  75.1 </v>
      </c>
      <c r="BG41" s="60" t="str">
        <f t="shared" si="144"/>
        <v>  66.1 </v>
      </c>
      <c r="BH41" s="60" t="str">
        <f t="shared" si="144"/>
        <v>  492.7 </v>
      </c>
    </row>
    <row r="42" ht="15.75" customHeight="1">
      <c r="B42" s="68" t="s">
        <v>33</v>
      </c>
      <c r="C42" s="51">
        <v>-10.744329605694164</v>
      </c>
      <c r="D42" s="51">
        <v>-17.35525578</v>
      </c>
      <c r="E42" s="51">
        <v>-18.0052063747883</v>
      </c>
      <c r="F42" s="51">
        <v>-37.90033179</v>
      </c>
      <c r="G42" s="51">
        <v>-19.03912917</v>
      </c>
      <c r="H42" s="51">
        <v>-38.294099159999995</v>
      </c>
      <c r="I42" s="51">
        <v>-17.89627061</v>
      </c>
      <c r="J42" s="51">
        <v>-27.32627093</v>
      </c>
      <c r="K42" s="51">
        <v>-21.287519569999997</v>
      </c>
      <c r="L42" s="51">
        <v>-34.12178203</v>
      </c>
      <c r="M42" s="51">
        <v>-53.47720756</v>
      </c>
      <c r="N42" s="51">
        <v>-28.838195</v>
      </c>
      <c r="O42" s="51" t="str">
        <f t="shared" ref="O42:O44" si="145">+SUM(C42:N42)</f>
        <v>  (324.3)</v>
      </c>
      <c r="Q42" s="68" t="s">
        <v>33</v>
      </c>
      <c r="R42" s="51">
        <v>-15.62330934634452</v>
      </c>
      <c r="S42" s="51">
        <v>-19.267699806838504</v>
      </c>
      <c r="T42" s="51">
        <v>-20.9817725040291</v>
      </c>
      <c r="U42" s="51">
        <v>-18.5174555716022</v>
      </c>
      <c r="V42" s="51">
        <v>-21.491495813538954</v>
      </c>
      <c r="W42" s="51">
        <v>-20.066272379999997</v>
      </c>
      <c r="X42" s="51">
        <v>-17.43793705</v>
      </c>
      <c r="Y42" s="51">
        <v>-24.29180807</v>
      </c>
      <c r="Z42" s="51">
        <v>-27.32952886</v>
      </c>
      <c r="AA42" s="51">
        <v>-29.569436269999997</v>
      </c>
      <c r="AB42" s="51">
        <v>-48.58789943</v>
      </c>
      <c r="AC42" s="51">
        <v>-72.90035173000001</v>
      </c>
      <c r="AD42" s="51" t="str">
        <f t="shared" ref="AD42:AD44" si="146">+SUM(R42:AC42)</f>
        <v>  (336.1)</v>
      </c>
      <c r="AF42" s="68" t="s">
        <v>33</v>
      </c>
      <c r="AG42" s="51">
        <v>-15.079174851132734</v>
      </c>
      <c r="AH42" s="51">
        <v>-15.312506329954752</v>
      </c>
      <c r="AI42" s="51">
        <v>-14.22504693214219</v>
      </c>
      <c r="AJ42" s="51">
        <v>-18.269880804033455</v>
      </c>
      <c r="AK42" s="51">
        <v>-24.98321801443853</v>
      </c>
      <c r="AL42" s="51">
        <v>-21.744409844456488</v>
      </c>
      <c r="AM42" s="51">
        <v>-18.99456371570564</v>
      </c>
      <c r="AN42" s="51">
        <v>-27.763051463864066</v>
      </c>
      <c r="AO42" s="51">
        <v>-29.08422337525173</v>
      </c>
      <c r="AP42" s="51">
        <v>-30.43896806460723</v>
      </c>
      <c r="AQ42" s="51">
        <v>-33.077653766378006</v>
      </c>
      <c r="AR42" s="51">
        <v>-51.941609499943205</v>
      </c>
      <c r="AS42" s="51" t="str">
        <f t="shared" ref="AS42:AS44" si="147">+SUM(AG42:AR42)</f>
        <v>  (300.9)</v>
      </c>
      <c r="AU42" s="68" t="s">
        <v>33</v>
      </c>
      <c r="AV42" s="51" t="str">
        <f>VLOOKUP($AU42,'MKT UNITED 26'!$B$4:$O$22,'Mkt United + Troader 26'!AV$37,0)</f>
        <v>  (11.4)</v>
      </c>
      <c r="AW42" s="51" t="str">
        <f>VLOOKUP($AU42,'MKT UNITED 26'!$B$4:$O$22,'Mkt United + Troader 26'!AW$37,0)</f>
        <v>  (19.4)</v>
      </c>
      <c r="AX42" s="51" t="str">
        <f>VLOOKUP($AU42,'MKT UNITED 26'!$B$4:$O$22,'Mkt United + Troader 26'!AX$37,0)</f>
        <v>  (15.6)</v>
      </c>
      <c r="AY42" s="51" t="str">
        <f>VLOOKUP($AU42,'MKT UNITED 26'!$B$4:$O$22,'Mkt United + Troader 26'!AY$37,0)</f>
        <v>  (24.5)</v>
      </c>
      <c r="AZ42" s="51">
        <v>-26.1841411818</v>
      </c>
      <c r="BA42" s="51">
        <v>-23.16281436</v>
      </c>
      <c r="BB42" s="51">
        <v>-19.1207664407025</v>
      </c>
      <c r="BC42" s="51">
        <v>-25.254466056363917</v>
      </c>
      <c r="BD42" s="51">
        <v>-28.266323804901003</v>
      </c>
      <c r="BE42" s="51">
        <v>-27.547614359999997</v>
      </c>
      <c r="BF42" s="51">
        <v>-47.32961436</v>
      </c>
      <c r="BG42" s="51">
        <v>-41.65961436</v>
      </c>
      <c r="BH42" s="51" t="str">
        <f t="shared" ref="BH42:BH44" si="148">+SUM(AV42:BG42)</f>
        <v>  (309.4)</v>
      </c>
    </row>
    <row r="43" ht="15.75" customHeight="1">
      <c r="B43" s="68" t="s">
        <v>34</v>
      </c>
      <c r="C43" s="51">
        <v>-0.01478727</v>
      </c>
      <c r="D43" s="51">
        <v>0.0</v>
      </c>
      <c r="E43" s="51">
        <v>-0.10061592</v>
      </c>
      <c r="F43" s="51">
        <v>-0.117463</v>
      </c>
      <c r="G43" s="51">
        <v>-0.015577</v>
      </c>
      <c r="H43" s="51">
        <v>-0.03940326</v>
      </c>
      <c r="I43" s="51">
        <v>-0.00769</v>
      </c>
      <c r="J43" s="51">
        <v>-0.0044190900000000005</v>
      </c>
      <c r="K43" s="51">
        <v>0.0</v>
      </c>
      <c r="L43" s="51">
        <v>0.0</v>
      </c>
      <c r="M43" s="51">
        <v>0.0</v>
      </c>
      <c r="N43" s="51">
        <v>0.0</v>
      </c>
      <c r="O43" s="51" t="str">
        <f t="shared" si="145"/>
        <v>  (0.3)</v>
      </c>
      <c r="Q43" s="68" t="s">
        <v>34</v>
      </c>
      <c r="R43" s="51">
        <v>0.0</v>
      </c>
      <c r="S43" s="51">
        <v>0.0</v>
      </c>
      <c r="T43" s="51">
        <v>-0.108584</v>
      </c>
      <c r="U43" s="51">
        <v>-0.03939952</v>
      </c>
      <c r="V43" s="51">
        <v>-0.01</v>
      </c>
      <c r="W43" s="51">
        <v>-0.01</v>
      </c>
      <c r="X43" s="51">
        <v>-0.00999999</v>
      </c>
      <c r="Y43" s="51">
        <v>-0.001</v>
      </c>
      <c r="Z43" s="51">
        <v>-0.17125075</v>
      </c>
      <c r="AA43" s="51">
        <v>-0.020150619999999998</v>
      </c>
      <c r="AB43" s="51">
        <v>-0.02483109</v>
      </c>
      <c r="AC43" s="51">
        <v>-0.0503862</v>
      </c>
      <c r="AD43" s="51" t="str">
        <f t="shared" si="146"/>
        <v>  (0.4)</v>
      </c>
      <c r="AF43" s="68" t="s">
        <v>34</v>
      </c>
      <c r="AG43" s="51">
        <v>-0.05159296214347</v>
      </c>
      <c r="AH43" s="51">
        <v>-0.08149864371373763</v>
      </c>
      <c r="AI43" s="51">
        <v>-0.11990745659978344</v>
      </c>
      <c r="AJ43" s="51">
        <v>-0.1396353646224289</v>
      </c>
      <c r="AK43" s="51">
        <v>-0.1749771942652603</v>
      </c>
      <c r="AL43" s="51">
        <v>-0.13584642528253157</v>
      </c>
      <c r="AM43" s="51">
        <v>-0.1545290736117619</v>
      </c>
      <c r="AN43" s="51">
        <v>-0.21353545657722467</v>
      </c>
      <c r="AO43" s="51">
        <v>-0.35030055579594543</v>
      </c>
      <c r="AP43" s="51">
        <v>-0.5507917557959454</v>
      </c>
      <c r="AQ43" s="51">
        <v>-0.6844525557959454</v>
      </c>
      <c r="AR43" s="51">
        <v>-0.6844525557959454</v>
      </c>
      <c r="AS43" s="51" t="str">
        <f t="shared" si="147"/>
        <v>  (3.3)</v>
      </c>
      <c r="AU43" s="68" t="s">
        <v>34</v>
      </c>
      <c r="AV43" s="51" t="str">
        <f>VLOOKUP($AU43,'MKT UNITED 26'!$B$4:$O$22,'Mkt United + Troader 26'!AV$37,0)</f>
        <v>  (0.0)</v>
      </c>
      <c r="AW43" s="51" t="str">
        <f>VLOOKUP($AU43,'MKT UNITED 26'!$B$4:$O$22,'Mkt United + Troader 26'!AW$37,0)</f>
        <v>  (0.0)</v>
      </c>
      <c r="AX43" s="51" t="str">
        <f>VLOOKUP($AU43,'MKT UNITED 26'!$B$4:$O$22,'Mkt United + Troader 26'!AX$37,0)</f>
        <v>  (0.0)</v>
      </c>
      <c r="AY43" s="51" t="str">
        <f>VLOOKUP($AU43,'MKT UNITED 26'!$B$4:$O$22,'Mkt United + Troader 26'!AY$37,0)</f>
        <v>  (0.0)</v>
      </c>
      <c r="AZ43" s="51">
        <v>-0.20196</v>
      </c>
      <c r="BA43" s="51">
        <v>-0.2376509832</v>
      </c>
      <c r="BB43" s="51">
        <v>-0.1262669832</v>
      </c>
      <c r="BC43" s="51">
        <v>-0.0038669832</v>
      </c>
      <c r="BD43" s="51">
        <v>-0.0038669832</v>
      </c>
      <c r="BE43" s="51">
        <v>-0.11402698320000001</v>
      </c>
      <c r="BF43" s="51">
        <v>-0.0038669832</v>
      </c>
      <c r="BG43" s="51">
        <v>-0.0038669832</v>
      </c>
      <c r="BH43" s="51" t="str">
        <f t="shared" si="148"/>
        <v>  (0.9)</v>
      </c>
    </row>
    <row r="44" ht="15.75" customHeight="1">
      <c r="B44" s="68" t="s">
        <v>36</v>
      </c>
      <c r="C44" s="51">
        <v>0.0</v>
      </c>
      <c r="D44" s="51">
        <v>0.0</v>
      </c>
      <c r="E44" s="51">
        <v>0.0</v>
      </c>
      <c r="F44" s="51">
        <v>0.0</v>
      </c>
      <c r="G44" s="51">
        <v>0.0</v>
      </c>
      <c r="H44" s="51">
        <v>0.0</v>
      </c>
      <c r="I44" s="51">
        <v>0.0</v>
      </c>
      <c r="J44" s="51">
        <v>0.0</v>
      </c>
      <c r="K44" s="51">
        <v>0.0</v>
      </c>
      <c r="L44" s="51">
        <v>0.0</v>
      </c>
      <c r="M44" s="51">
        <v>0.0</v>
      </c>
      <c r="N44" s="51">
        <v>0.0</v>
      </c>
      <c r="O44" s="51" t="str">
        <f t="shared" si="145"/>
        <v>  -   </v>
      </c>
      <c r="Q44" s="68" t="s">
        <v>36</v>
      </c>
      <c r="R44" s="51">
        <v>0.0</v>
      </c>
      <c r="S44" s="51">
        <v>0.0</v>
      </c>
      <c r="T44" s="51">
        <v>0.0</v>
      </c>
      <c r="U44" s="51">
        <v>0.0</v>
      </c>
      <c r="V44" s="51">
        <v>0.0</v>
      </c>
      <c r="W44" s="51">
        <v>0.0</v>
      </c>
      <c r="X44" s="51">
        <v>0.0</v>
      </c>
      <c r="Y44" s="51">
        <v>0.0</v>
      </c>
      <c r="Z44" s="51">
        <v>0.0</v>
      </c>
      <c r="AA44" s="51">
        <v>0.0</v>
      </c>
      <c r="AB44" s="51">
        <v>0.0</v>
      </c>
      <c r="AC44" s="51">
        <v>0.0</v>
      </c>
      <c r="AD44" s="51" t="str">
        <f t="shared" si="146"/>
        <v>  -   </v>
      </c>
      <c r="AF44" s="68" t="s">
        <v>36</v>
      </c>
      <c r="AG44" s="51">
        <v>-0.03532664697031871</v>
      </c>
      <c r="AH44" s="51">
        <v>-0.05580361536577119</v>
      </c>
      <c r="AI44" s="51">
        <v>-0.08210283365064538</v>
      </c>
      <c r="AJ44" s="51">
        <v>-0.09561089392136432</v>
      </c>
      <c r="AK44" s="51">
        <v>-0.11981009255635626</v>
      </c>
      <c r="AL44" s="51">
        <v>-0.09301653769734498</v>
      </c>
      <c r="AM44" s="51">
        <v>-0.10580888949451486</v>
      </c>
      <c r="AN44" s="51">
        <v>-0.1462116416028305</v>
      </c>
      <c r="AO44" s="51">
        <v>-0.23985721218521006</v>
      </c>
      <c r="AP44" s="51">
        <v>-0.3771372121852102</v>
      </c>
      <c r="AQ44" s="51">
        <v>-0.4686572121852102</v>
      </c>
      <c r="AR44" s="51">
        <v>-0.4686572121852102</v>
      </c>
      <c r="AS44" s="51" t="str">
        <f t="shared" si="147"/>
        <v>  (2.3)</v>
      </c>
      <c r="AU44" s="68" t="s">
        <v>36</v>
      </c>
      <c r="AV44" s="51" t="str">
        <f>VLOOKUP($AU44,'MKT UNITED 26'!$B$4:$O$22,'Mkt United + Troader 26'!AV$37,0)</f>
        <v>  -   </v>
      </c>
      <c r="AW44" s="51" t="str">
        <f>VLOOKUP($AU44,'MKT UNITED 26'!$B$4:$O$22,'Mkt United + Troader 26'!AW$37,0)</f>
        <v>  -   </v>
      </c>
      <c r="AX44" s="51" t="str">
        <f>VLOOKUP($AU44,'MKT UNITED 26'!$B$4:$O$22,'Mkt United + Troader 26'!AX$37,0)</f>
        <v>  -   </v>
      </c>
      <c r="AY44" s="51" t="str">
        <f>VLOOKUP($AU44,'MKT UNITED 26'!$B$4:$O$22,'Mkt United + Troader 26'!AY$37,0)</f>
        <v>  -   </v>
      </c>
      <c r="AZ44" s="51">
        <v>0.0</v>
      </c>
      <c r="BA44" s="51">
        <v>0.0</v>
      </c>
      <c r="BB44" s="51">
        <v>0.0</v>
      </c>
      <c r="BC44" s="51">
        <v>0.0</v>
      </c>
      <c r="BD44" s="51">
        <v>0.0</v>
      </c>
      <c r="BE44" s="51">
        <v>0.0</v>
      </c>
      <c r="BF44" s="51">
        <v>0.0</v>
      </c>
      <c r="BG44" s="51">
        <v>0.0</v>
      </c>
      <c r="BH44" s="51" t="str">
        <f t="shared" si="148"/>
        <v>  -   </v>
      </c>
    </row>
    <row r="45" ht="15.75" customHeight="1">
      <c r="B45" s="65" t="s">
        <v>37</v>
      </c>
      <c r="C45" s="71" t="str">
        <f t="shared" ref="C45:O45" si="149">SUM(C42:C43)</f>
        <v>  (10.8)</v>
      </c>
      <c r="D45" s="71" t="str">
        <f t="shared" si="149"/>
        <v>  (17.4)</v>
      </c>
      <c r="E45" s="71" t="str">
        <f t="shared" si="149"/>
        <v>  (18.1)</v>
      </c>
      <c r="F45" s="71" t="str">
        <f t="shared" si="149"/>
        <v>  (38.0)</v>
      </c>
      <c r="G45" s="71" t="str">
        <f t="shared" si="149"/>
        <v>  (19.1)</v>
      </c>
      <c r="H45" s="71" t="str">
        <f t="shared" si="149"/>
        <v>  (38.3)</v>
      </c>
      <c r="I45" s="71" t="str">
        <f t="shared" si="149"/>
        <v>  (17.9)</v>
      </c>
      <c r="J45" s="71" t="str">
        <f t="shared" si="149"/>
        <v>  (27.3)</v>
      </c>
      <c r="K45" s="71" t="str">
        <f t="shared" si="149"/>
        <v>  (21.3)</v>
      </c>
      <c r="L45" s="71" t="str">
        <f t="shared" si="149"/>
        <v>  (34.1)</v>
      </c>
      <c r="M45" s="71" t="str">
        <f t="shared" si="149"/>
        <v>  (53.5)</v>
      </c>
      <c r="N45" s="71" t="str">
        <f t="shared" si="149"/>
        <v>  (28.8)</v>
      </c>
      <c r="O45" s="71" t="str">
        <f t="shared" si="149"/>
        <v>  (324.6)</v>
      </c>
      <c r="Q45" s="65" t="s">
        <v>37</v>
      </c>
      <c r="R45" s="71" t="str">
        <f t="shared" ref="R45:AD45" si="150">SUM(R42:R43)</f>
        <v>  (15.6)</v>
      </c>
      <c r="S45" s="71" t="str">
        <f t="shared" si="150"/>
        <v>  (19.3)</v>
      </c>
      <c r="T45" s="71" t="str">
        <f t="shared" si="150"/>
        <v>  (21.1)</v>
      </c>
      <c r="U45" s="71" t="str">
        <f t="shared" si="150"/>
        <v>  (18.6)</v>
      </c>
      <c r="V45" s="71" t="str">
        <f t="shared" si="150"/>
        <v>  (21.5)</v>
      </c>
      <c r="W45" s="71" t="str">
        <f t="shared" si="150"/>
        <v>  (20.1)</v>
      </c>
      <c r="X45" s="71" t="str">
        <f t="shared" si="150"/>
        <v>  (17.4)</v>
      </c>
      <c r="Y45" s="71" t="str">
        <f t="shared" si="150"/>
        <v>  (24.3)</v>
      </c>
      <c r="Z45" s="71" t="str">
        <f t="shared" si="150"/>
        <v>  (27.5)</v>
      </c>
      <c r="AA45" s="71" t="str">
        <f t="shared" si="150"/>
        <v>  (29.6)</v>
      </c>
      <c r="AB45" s="71" t="str">
        <f t="shared" si="150"/>
        <v>  (48.6)</v>
      </c>
      <c r="AC45" s="71" t="str">
        <f t="shared" si="150"/>
        <v>  (73.0)</v>
      </c>
      <c r="AD45" s="71" t="str">
        <f t="shared" si="150"/>
        <v>  (336.5)</v>
      </c>
      <c r="AF45" s="65" t="s">
        <v>37</v>
      </c>
      <c r="AG45" s="71" t="str">
        <f t="shared" ref="AG45:AS45" si="151">SUM(AG42:AG44)</f>
        <v>  (15.2)</v>
      </c>
      <c r="AH45" s="71" t="str">
        <f t="shared" si="151"/>
        <v>  (15.4)</v>
      </c>
      <c r="AI45" s="71" t="str">
        <f t="shared" si="151"/>
        <v>  (14.4)</v>
      </c>
      <c r="AJ45" s="71" t="str">
        <f t="shared" si="151"/>
        <v>  (18.5)</v>
      </c>
      <c r="AK45" s="71" t="str">
        <f t="shared" si="151"/>
        <v>  (25.3)</v>
      </c>
      <c r="AL45" s="71" t="str">
        <f t="shared" si="151"/>
        <v>  (22.0)</v>
      </c>
      <c r="AM45" s="71" t="str">
        <f t="shared" si="151"/>
        <v>  (19.3)</v>
      </c>
      <c r="AN45" s="71" t="str">
        <f t="shared" si="151"/>
        <v>  (28.1)</v>
      </c>
      <c r="AO45" s="71" t="str">
        <f t="shared" si="151"/>
        <v>  (29.7)</v>
      </c>
      <c r="AP45" s="71" t="str">
        <f t="shared" si="151"/>
        <v>  (31.4)</v>
      </c>
      <c r="AQ45" s="71" t="str">
        <f t="shared" si="151"/>
        <v>  (34.2)</v>
      </c>
      <c r="AR45" s="71" t="str">
        <f t="shared" si="151"/>
        <v>  (53.1)</v>
      </c>
      <c r="AS45" s="71" t="str">
        <f t="shared" si="151"/>
        <v>  (306.5)</v>
      </c>
      <c r="AU45" s="65" t="s">
        <v>37</v>
      </c>
      <c r="AV45" s="71" t="str">
        <f t="shared" ref="AV45:BH45" si="152">SUM(AV42:AV44)</f>
        <v>  (11.4)</v>
      </c>
      <c r="AW45" s="71" t="str">
        <f t="shared" si="152"/>
        <v>  (19.4)</v>
      </c>
      <c r="AX45" s="71" t="str">
        <f t="shared" si="152"/>
        <v>  (15.7)</v>
      </c>
      <c r="AY45" s="71" t="str">
        <f t="shared" si="152"/>
        <v>  (24.6)</v>
      </c>
      <c r="AZ45" s="71" t="str">
        <f t="shared" si="152"/>
        <v>  (26.4)</v>
      </c>
      <c r="BA45" s="71" t="str">
        <f t="shared" si="152"/>
        <v>  (23.4)</v>
      </c>
      <c r="BB45" s="71" t="str">
        <f t="shared" si="152"/>
        <v>  (19.2)</v>
      </c>
      <c r="BC45" s="71" t="str">
        <f t="shared" si="152"/>
        <v>  (25.3)</v>
      </c>
      <c r="BD45" s="71" t="str">
        <f t="shared" si="152"/>
        <v>  (28.3)</v>
      </c>
      <c r="BE45" s="71" t="str">
        <f t="shared" si="152"/>
        <v>  (27.7)</v>
      </c>
      <c r="BF45" s="71" t="str">
        <f t="shared" si="152"/>
        <v>  (47.3)</v>
      </c>
      <c r="BG45" s="71" t="str">
        <f t="shared" si="152"/>
        <v>  (41.7)</v>
      </c>
      <c r="BH45" s="71" t="str">
        <f t="shared" si="152"/>
        <v>  (310.3)</v>
      </c>
    </row>
    <row r="46" ht="15.75" customHeight="1">
      <c r="B46" s="59" t="s">
        <v>38</v>
      </c>
      <c r="C46" s="60" t="str">
        <f t="shared" ref="C46:O46" si="153">C41+C45</f>
        <v>  6.5 </v>
      </c>
      <c r="D46" s="60" t="str">
        <f t="shared" si="153"/>
        <v>  6.5 </v>
      </c>
      <c r="E46" s="60" t="str">
        <f t="shared" si="153"/>
        <v>  10.9 </v>
      </c>
      <c r="F46" s="60" t="str">
        <f t="shared" si="153"/>
        <v>  1.7 </v>
      </c>
      <c r="G46" s="60" t="str">
        <f t="shared" si="153"/>
        <v>  16.9 </v>
      </c>
      <c r="H46" s="60" t="str">
        <f t="shared" si="153"/>
        <v>  8.3 </v>
      </c>
      <c r="I46" s="60" t="str">
        <f t="shared" si="153"/>
        <v>  11.8 </v>
      </c>
      <c r="J46" s="60" t="str">
        <f t="shared" si="153"/>
        <v>  14.1 </v>
      </c>
      <c r="K46" s="60" t="str">
        <f t="shared" si="153"/>
        <v>  11.2 </v>
      </c>
      <c r="L46" s="60" t="str">
        <f t="shared" si="153"/>
        <v>  14.1 </v>
      </c>
      <c r="M46" s="60" t="str">
        <f t="shared" si="153"/>
        <v>  18.4 </v>
      </c>
      <c r="N46" s="60" t="str">
        <f t="shared" si="153"/>
        <v>  19.3 </v>
      </c>
      <c r="O46" s="60" t="str">
        <f t="shared" si="153"/>
        <v>  139.7 </v>
      </c>
      <c r="Q46" s="59" t="s">
        <v>38</v>
      </c>
      <c r="R46" s="60" t="str">
        <f t="shared" ref="R46:AD46" si="154">R41+R45</f>
        <v>  7.4 </v>
      </c>
      <c r="S46" s="60" t="str">
        <f t="shared" si="154"/>
        <v>  9.2 </v>
      </c>
      <c r="T46" s="60" t="str">
        <f t="shared" si="154"/>
        <v>  11.2 </v>
      </c>
      <c r="U46" s="60" t="str">
        <f t="shared" si="154"/>
        <v>  12.4 </v>
      </c>
      <c r="V46" s="60" t="str">
        <f t="shared" si="154"/>
        <v>  9.8 </v>
      </c>
      <c r="W46" s="60" t="str">
        <f t="shared" si="154"/>
        <v>  13.4 </v>
      </c>
      <c r="X46" s="60" t="str">
        <f t="shared" si="154"/>
        <v>  9.2 </v>
      </c>
      <c r="Y46" s="60" t="str">
        <f t="shared" si="154"/>
        <v>  14.9 </v>
      </c>
      <c r="Z46" s="60" t="str">
        <f t="shared" si="154"/>
        <v>  15.8 </v>
      </c>
      <c r="AA46" s="60" t="str">
        <f t="shared" si="154"/>
        <v>  16.4 </v>
      </c>
      <c r="AB46" s="60" t="str">
        <f t="shared" si="154"/>
        <v>  30.9 </v>
      </c>
      <c r="AC46" s="60" t="str">
        <f t="shared" si="154"/>
        <v>  (4.5)</v>
      </c>
      <c r="AD46" s="60" t="str">
        <f t="shared" si="154"/>
        <v>  146.2 </v>
      </c>
      <c r="AF46" s="59" t="s">
        <v>38</v>
      </c>
      <c r="AG46" s="60" t="str">
        <f t="shared" ref="AG46:AS46" si="155">AG41+AG45</f>
        <v>  10.0 </v>
      </c>
      <c r="AH46" s="60" t="str">
        <f t="shared" si="155"/>
        <v>  10.1 </v>
      </c>
      <c r="AI46" s="60" t="str">
        <f t="shared" si="155"/>
        <v>  9.3 </v>
      </c>
      <c r="AJ46" s="60" t="str">
        <f t="shared" si="155"/>
        <v>  11.9 </v>
      </c>
      <c r="AK46" s="60" t="str">
        <f t="shared" si="155"/>
        <v>  16.4 </v>
      </c>
      <c r="AL46" s="60" t="str">
        <f t="shared" si="155"/>
        <v>  14.3 </v>
      </c>
      <c r="AM46" s="60" t="str">
        <f t="shared" si="155"/>
        <v>  12.4 </v>
      </c>
      <c r="AN46" s="60" t="str">
        <f t="shared" si="155"/>
        <v>  18.1 </v>
      </c>
      <c r="AO46" s="60" t="str">
        <f t="shared" si="155"/>
        <v>  18.8 </v>
      </c>
      <c r="AP46" s="60" t="str">
        <f t="shared" si="155"/>
        <v>  19.4 </v>
      </c>
      <c r="AQ46" s="60" t="str">
        <f t="shared" si="155"/>
        <v>  20.9 </v>
      </c>
      <c r="AR46" s="60" t="str">
        <f t="shared" si="155"/>
        <v>  33.5 </v>
      </c>
      <c r="AS46" s="60" t="str">
        <f t="shared" si="155"/>
        <v>  195.0 </v>
      </c>
      <c r="AU46" s="59" t="s">
        <v>38</v>
      </c>
      <c r="AV46" s="60" t="str">
        <f t="shared" ref="AV46:BH46" si="156">AV41+AV45</f>
        <v>  5.6 </v>
      </c>
      <c r="AW46" s="60" t="str">
        <f t="shared" si="156"/>
        <v>  12.9 </v>
      </c>
      <c r="AX46" s="60" t="str">
        <f t="shared" si="156"/>
        <v>  9.0 </v>
      </c>
      <c r="AY46" s="60" t="str">
        <f t="shared" si="156"/>
        <v>  15.4 </v>
      </c>
      <c r="AZ46" s="60" t="str">
        <f t="shared" si="156"/>
        <v>  15.2 </v>
      </c>
      <c r="BA46" s="60" t="str">
        <f t="shared" si="156"/>
        <v>  13.4 </v>
      </c>
      <c r="BB46" s="60" t="str">
        <f t="shared" si="156"/>
        <v>  11.1 </v>
      </c>
      <c r="BC46" s="60" t="str">
        <f t="shared" si="156"/>
        <v>  14.8 </v>
      </c>
      <c r="BD46" s="60" t="str">
        <f t="shared" si="156"/>
        <v>  16.6 </v>
      </c>
      <c r="BE46" s="60" t="str">
        <f t="shared" si="156"/>
        <v>  16.1 </v>
      </c>
      <c r="BF46" s="60" t="str">
        <f t="shared" si="156"/>
        <v>  27.8 </v>
      </c>
      <c r="BG46" s="60" t="str">
        <f t="shared" si="156"/>
        <v>  24.5 </v>
      </c>
      <c r="BH46" s="60" t="str">
        <f t="shared" si="156"/>
        <v>  182.4 </v>
      </c>
    </row>
    <row r="47" ht="15.75" customHeight="1">
      <c r="B47" s="68" t="s">
        <v>39</v>
      </c>
      <c r="C47" s="51">
        <v>-2.296358</v>
      </c>
      <c r="D47" s="51">
        <v>-2.0569823</v>
      </c>
      <c r="E47" s="51">
        <v>-2.3486782899999996</v>
      </c>
      <c r="F47" s="51">
        <v>-2.22442766</v>
      </c>
      <c r="G47" s="51">
        <v>-2.35753</v>
      </c>
      <c r="H47" s="51">
        <v>-2.44557</v>
      </c>
      <c r="I47" s="51">
        <v>-2.38979283</v>
      </c>
      <c r="J47" s="51">
        <v>-2.52367586</v>
      </c>
      <c r="K47" s="51">
        <v>-2.8030142999999996</v>
      </c>
      <c r="L47" s="51">
        <v>-2.83767623</v>
      </c>
      <c r="M47" s="51">
        <v>-3.002393885</v>
      </c>
      <c r="N47" s="51">
        <v>-2.942367</v>
      </c>
      <c r="O47" s="51" t="str">
        <f t="shared" ref="O47:O54" si="157">+SUM(C47:N47)</f>
        <v>  (30.2)</v>
      </c>
      <c r="Q47" s="68" t="s">
        <v>39</v>
      </c>
      <c r="R47" s="51">
        <v>-2.91798173</v>
      </c>
      <c r="S47" s="51">
        <v>-3.06930876</v>
      </c>
      <c r="T47" s="51">
        <v>-3.0654749297952506</v>
      </c>
      <c r="U47" s="51">
        <v>-3.197998945</v>
      </c>
      <c r="V47" s="51">
        <v>-3.06567098</v>
      </c>
      <c r="W47" s="51">
        <v>-3.247113</v>
      </c>
      <c r="X47" s="51">
        <v>-3.13077811</v>
      </c>
      <c r="Y47" s="51">
        <v>-3.2574269399999998</v>
      </c>
      <c r="Z47" s="51">
        <v>-3.51408759</v>
      </c>
      <c r="AA47" s="51">
        <v>-3.3482371200000003</v>
      </c>
      <c r="AB47" s="51">
        <v>-3.8723525418364497</v>
      </c>
      <c r="AC47" s="51">
        <v>-4.13169565</v>
      </c>
      <c r="AD47" s="51" t="str">
        <f t="shared" ref="AD47:AD54" si="158">+SUM(R47:AC47)</f>
        <v>  (39.8)</v>
      </c>
      <c r="AF47" s="50" t="s">
        <v>39</v>
      </c>
      <c r="AG47" s="51">
        <v>-4.13169565</v>
      </c>
      <c r="AH47" s="51">
        <v>-4.13169565</v>
      </c>
      <c r="AI47" s="51">
        <v>-4.13169565</v>
      </c>
      <c r="AJ47" s="51">
        <v>-4.13169565</v>
      </c>
      <c r="AK47" s="51">
        <v>-4.13169565</v>
      </c>
      <c r="AL47" s="51">
        <v>-4.13169565</v>
      </c>
      <c r="AM47" s="51">
        <v>-4.13169565</v>
      </c>
      <c r="AN47" s="51">
        <v>-4.13169565</v>
      </c>
      <c r="AO47" s="51">
        <v>-4.13169565</v>
      </c>
      <c r="AP47" s="51">
        <v>-4.13169565</v>
      </c>
      <c r="AQ47" s="51">
        <v>-4.13169565</v>
      </c>
      <c r="AR47" s="51">
        <v>-4.13169565</v>
      </c>
      <c r="AS47" s="51" t="str">
        <f t="shared" ref="AS47:AS54" si="159">+SUM(AG47:AR47)</f>
        <v>  (49.6)</v>
      </c>
      <c r="AU47" s="50" t="s">
        <v>39</v>
      </c>
      <c r="AV47" s="51" t="str">
        <f>VLOOKUP($AU47,'MKT UNITED 26'!$B$4:$O$22,'Mkt United + Troader 26'!AV$37,0)</f>
        <v>  (3.9)</v>
      </c>
      <c r="AW47" s="51" t="str">
        <f>VLOOKUP($AU47,'MKT UNITED 26'!$B$4:$O$22,'Mkt United + Troader 26'!AW$37,0)</f>
        <v>  (3.6)</v>
      </c>
      <c r="AX47" s="51" t="str">
        <f>VLOOKUP($AU47,'MKT UNITED 26'!$B$4:$O$22,'Mkt United + Troader 26'!AX$37,0)</f>
        <v>  (3.9)</v>
      </c>
      <c r="AY47" s="51" t="str">
        <f>VLOOKUP($AU47,'MKT UNITED 26'!$B$4:$O$22,'Mkt United + Troader 26'!AY$37,0)</f>
        <v>  (3.9)</v>
      </c>
      <c r="AZ47" s="51">
        <v>-3.8910686</v>
      </c>
      <c r="BA47" s="51">
        <v>-3.8910686</v>
      </c>
      <c r="BB47" s="51">
        <v>-3.8910686</v>
      </c>
      <c r="BC47" s="51">
        <v>-3.8910686</v>
      </c>
      <c r="BD47" s="51">
        <v>-3.8910686</v>
      </c>
      <c r="BE47" s="51">
        <v>-3.8910686</v>
      </c>
      <c r="BF47" s="51">
        <v>-3.8910686</v>
      </c>
      <c r="BG47" s="51">
        <v>-3.8910686</v>
      </c>
      <c r="BH47" s="51" t="str">
        <f t="shared" ref="BH47:BH54" si="160">+SUM(AV47:BG47)</f>
        <v>  (46.4)</v>
      </c>
    </row>
    <row r="48" ht="15.75" customHeight="1">
      <c r="B48" s="68" t="s">
        <v>41</v>
      </c>
      <c r="C48" s="51">
        <v>-0.15418236022222223</v>
      </c>
      <c r="D48" s="51">
        <v>-0.2674364103819</v>
      </c>
      <c r="E48" s="51">
        <v>-0.25462354</v>
      </c>
      <c r="F48" s="51">
        <v>-0.32504619</v>
      </c>
      <c r="G48" s="51">
        <v>-0.19070222</v>
      </c>
      <c r="H48" s="51">
        <v>-0.19070222</v>
      </c>
      <c r="I48" s="51">
        <v>-0.25650657</v>
      </c>
      <c r="J48" s="51">
        <v>-0.21124016</v>
      </c>
      <c r="K48" s="51">
        <v>-0.16030741</v>
      </c>
      <c r="L48" s="51">
        <v>-0.24937804</v>
      </c>
      <c r="M48" s="51">
        <v>-0.31482796</v>
      </c>
      <c r="N48" s="51">
        <v>-0.503331</v>
      </c>
      <c r="O48" s="51" t="str">
        <f t="shared" si="157"/>
        <v>  (3.1)</v>
      </c>
      <c r="Q48" s="68" t="s">
        <v>41</v>
      </c>
      <c r="R48" s="51">
        <v>-0.05238614</v>
      </c>
      <c r="S48" s="51">
        <v>-0.611535</v>
      </c>
      <c r="T48" s="51">
        <v>-0.56056</v>
      </c>
      <c r="U48" s="51">
        <v>-0.32415381</v>
      </c>
      <c r="V48" s="51">
        <v>-0.70048418</v>
      </c>
      <c r="W48" s="51">
        <v>-0.43238965</v>
      </c>
      <c r="X48" s="51">
        <v>-0.00504263</v>
      </c>
      <c r="Y48" s="51">
        <v>-0.26336602000000003</v>
      </c>
      <c r="Z48" s="51">
        <v>-0.39803395</v>
      </c>
      <c r="AA48" s="51">
        <v>-0.24991185999999999</v>
      </c>
      <c r="AB48" s="51">
        <v>-0.36565492</v>
      </c>
      <c r="AC48" s="51">
        <v>-0.550556</v>
      </c>
      <c r="AD48" s="51" t="str">
        <f t="shared" si="158"/>
        <v>  (4.5)</v>
      </c>
      <c r="AF48" s="68" t="s">
        <v>41</v>
      </c>
      <c r="AG48" s="51">
        <v>-0.667</v>
      </c>
      <c r="AH48" s="51">
        <v>-1.067</v>
      </c>
      <c r="AI48" s="51">
        <v>-0.167</v>
      </c>
      <c r="AJ48" s="51">
        <v>-0.417</v>
      </c>
      <c r="AK48" s="51">
        <v>-0.424</v>
      </c>
      <c r="AL48" s="51">
        <v>-0.41763621</v>
      </c>
      <c r="AM48" s="51">
        <v>-0.267</v>
      </c>
      <c r="AN48" s="51">
        <v>-0.317</v>
      </c>
      <c r="AO48" s="51">
        <v>-0.267</v>
      </c>
      <c r="AP48" s="51">
        <v>-0.267</v>
      </c>
      <c r="AQ48" s="51">
        <v>-0.274</v>
      </c>
      <c r="AR48" s="51">
        <v>-0.267</v>
      </c>
      <c r="AS48" s="51" t="str">
        <f t="shared" si="159"/>
        <v>  (4.8)</v>
      </c>
      <c r="AU48" s="68" t="s">
        <v>41</v>
      </c>
      <c r="AV48" s="51" t="str">
        <f>VLOOKUP($AU48,'MKT UNITED 26'!$B$4:$O$22,'Mkt United + Troader 26'!AV$37,0)</f>
        <v>  (0.5)</v>
      </c>
      <c r="AW48" s="51" t="str">
        <f>VLOOKUP($AU48,'MKT UNITED 26'!$B$4:$O$22,'Mkt United + Troader 26'!AW$37,0)</f>
        <v>  (0.4)</v>
      </c>
      <c r="AX48" s="51" t="str">
        <f>VLOOKUP($AU48,'MKT UNITED 26'!$B$4:$O$22,'Mkt United + Troader 26'!AX$37,0)</f>
        <v>  (0.1)</v>
      </c>
      <c r="AY48" s="51" t="str">
        <f>VLOOKUP($AU48,'MKT UNITED 26'!$B$4:$O$22,'Mkt United + Troader 26'!AY$37,0)</f>
        <v>  (0.2)</v>
      </c>
      <c r="AZ48" s="51">
        <v>-0.424</v>
      </c>
      <c r="BA48" s="51">
        <v>-0.41763621</v>
      </c>
      <c r="BB48" s="51">
        <v>-0.267</v>
      </c>
      <c r="BC48" s="51">
        <v>-0.317</v>
      </c>
      <c r="BD48" s="51">
        <v>-0.267</v>
      </c>
      <c r="BE48" s="51">
        <v>-0.267</v>
      </c>
      <c r="BF48" s="51">
        <v>-0.274</v>
      </c>
      <c r="BG48" s="51">
        <v>-0.267</v>
      </c>
      <c r="BH48" s="51" t="str">
        <f t="shared" si="160"/>
        <v>  (3.7)</v>
      </c>
    </row>
    <row r="49" ht="15.75" customHeight="1">
      <c r="B49" s="68" t="s">
        <v>43</v>
      </c>
      <c r="C49" s="51">
        <v>0.0</v>
      </c>
      <c r="D49" s="51">
        <v>0.0</v>
      </c>
      <c r="E49" s="51">
        <v>-0.15735576</v>
      </c>
      <c r="F49" s="51">
        <v>-0.05</v>
      </c>
      <c r="G49" s="51">
        <v>-0.021</v>
      </c>
      <c r="H49" s="51">
        <v>-0.03</v>
      </c>
      <c r="I49" s="51">
        <v>-0.08754183749719238</v>
      </c>
      <c r="J49" s="51">
        <v>-0.05</v>
      </c>
      <c r="K49" s="51">
        <v>-0.05</v>
      </c>
      <c r="L49" s="51">
        <v>-0.051</v>
      </c>
      <c r="M49" s="51">
        <v>-0.051</v>
      </c>
      <c r="N49" s="51">
        <v>-0.017</v>
      </c>
      <c r="O49" s="51" t="str">
        <f t="shared" si="157"/>
        <v>  (0.6)</v>
      </c>
      <c r="Q49" s="68" t="s">
        <v>43</v>
      </c>
      <c r="R49" s="51">
        <v>-0.176593</v>
      </c>
      <c r="S49" s="51">
        <v>-0.347</v>
      </c>
      <c r="T49" s="51">
        <v>-0.32491937</v>
      </c>
      <c r="U49" s="51">
        <v>-0.28726233</v>
      </c>
      <c r="V49" s="51">
        <v>-0.12399314</v>
      </c>
      <c r="W49" s="51">
        <v>-0.066</v>
      </c>
      <c r="X49" s="51">
        <v>-0.07</v>
      </c>
      <c r="Y49" s="51">
        <v>-0.241672</v>
      </c>
      <c r="Z49" s="51">
        <v>-0.22256736</v>
      </c>
      <c r="AA49" s="51">
        <v>-0.08156736</v>
      </c>
      <c r="AB49" s="51">
        <v>-0.07</v>
      </c>
      <c r="AC49" s="51">
        <v>-0.16313472</v>
      </c>
      <c r="AD49" s="51" t="str">
        <f t="shared" si="158"/>
        <v>  (2.2)</v>
      </c>
      <c r="AF49" s="68" t="s">
        <v>43</v>
      </c>
      <c r="AG49" s="51">
        <v>-0.151769</v>
      </c>
      <c r="AH49" s="51">
        <v>-0.18338</v>
      </c>
      <c r="AI49" s="51">
        <v>-0.592046772347594</v>
      </c>
      <c r="AJ49" s="51">
        <v>-0.24869</v>
      </c>
      <c r="AK49" s="51">
        <v>-0.13869</v>
      </c>
      <c r="AL49" s="51">
        <v>-0.13869</v>
      </c>
      <c r="AM49" s="51">
        <v>-0.13869</v>
      </c>
      <c r="AN49" s="51">
        <v>-0.13869</v>
      </c>
      <c r="AO49" s="51">
        <v>-0.13869</v>
      </c>
      <c r="AP49" s="51">
        <v>-0.17369</v>
      </c>
      <c r="AQ49" s="51">
        <v>-0.13869</v>
      </c>
      <c r="AR49" s="51">
        <v>-0.13869</v>
      </c>
      <c r="AS49" s="51" t="str">
        <f t="shared" si="159"/>
        <v>  (2.3)</v>
      </c>
      <c r="AU49" s="68" t="s">
        <v>43</v>
      </c>
      <c r="AV49" s="51" t="str">
        <f>VLOOKUP($AU49,'MKT UNITED 26'!$B$4:$O$22,'Mkt United + Troader 26'!AV$37,0)</f>
        <v>  (0.1)</v>
      </c>
      <c r="AW49" s="51" t="str">
        <f>VLOOKUP($AU49,'MKT UNITED 26'!$B$4:$O$22,'Mkt United + Troader 26'!AW$37,0)</f>
        <v>  (0.1)</v>
      </c>
      <c r="AX49" s="51" t="str">
        <f>VLOOKUP($AU49,'MKT UNITED 26'!$B$4:$O$22,'Mkt United + Troader 26'!AX$37,0)</f>
        <v>  (0.1)</v>
      </c>
      <c r="AY49" s="51" t="str">
        <f>VLOOKUP($AU49,'MKT UNITED 26'!$B$4:$O$22,'Mkt United + Troader 26'!AY$37,0)</f>
        <v>  (0.1)</v>
      </c>
      <c r="AZ49" s="51">
        <v>-0.13869</v>
      </c>
      <c r="BA49" s="51">
        <v>-0.13869</v>
      </c>
      <c r="BB49" s="51">
        <v>-0.13869</v>
      </c>
      <c r="BC49" s="51">
        <v>-0.13869</v>
      </c>
      <c r="BD49" s="51">
        <v>-0.13869</v>
      </c>
      <c r="BE49" s="51">
        <v>-0.17369</v>
      </c>
      <c r="BF49" s="51">
        <v>-0.13869</v>
      </c>
      <c r="BG49" s="51">
        <v>-0.13869</v>
      </c>
      <c r="BH49" s="51" t="str">
        <f t="shared" si="160"/>
        <v>  (1.5)</v>
      </c>
    </row>
    <row r="50" ht="15.75" customHeight="1">
      <c r="B50" s="68" t="s">
        <v>44</v>
      </c>
      <c r="C50" s="51">
        <v>-0.19545013550702703</v>
      </c>
      <c r="D50" s="51">
        <v>-0.311519806631674</v>
      </c>
      <c r="E50" s="51">
        <v>-0.31951801732639395</v>
      </c>
      <c r="F50" s="51">
        <v>-0.227407</v>
      </c>
      <c r="G50" s="51">
        <v>-0.223635723345725</v>
      </c>
      <c r="H50" s="51">
        <v>-0.22545</v>
      </c>
      <c r="I50" s="51">
        <v>-0.22740618334572493</v>
      </c>
      <c r="J50" s="51">
        <v>-0.223664949144981</v>
      </c>
      <c r="K50" s="51">
        <v>-0.2235</v>
      </c>
      <c r="L50" s="51">
        <v>-0.2265</v>
      </c>
      <c r="M50" s="51">
        <v>-0.2265</v>
      </c>
      <c r="N50" s="51">
        <v>-0.2265</v>
      </c>
      <c r="O50" s="51" t="str">
        <f t="shared" si="157"/>
        <v>  (2.9)</v>
      </c>
      <c r="Q50" s="68" t="s">
        <v>44</v>
      </c>
      <c r="R50" s="51">
        <v>-0.328177539256506</v>
      </c>
      <c r="S50" s="51">
        <v>-0.337785058</v>
      </c>
      <c r="T50" s="51">
        <v>-0.2717744014575471</v>
      </c>
      <c r="U50" s="51">
        <v>-0.268895513326853</v>
      </c>
      <c r="V50" s="51">
        <v>-0.28795669897649334</v>
      </c>
      <c r="W50" s="51">
        <v>-0.271482</v>
      </c>
      <c r="X50" s="51">
        <v>-0.260071</v>
      </c>
      <c r="Y50" s="51">
        <v>-0.31683111000000097</v>
      </c>
      <c r="Z50" s="51">
        <v>-0.31528931</v>
      </c>
      <c r="AA50" s="51">
        <v>-0.31651476</v>
      </c>
      <c r="AB50" s="51">
        <v>-0.314982</v>
      </c>
      <c r="AC50" s="51">
        <v>-0.31602355</v>
      </c>
      <c r="AD50" s="51" t="str">
        <f t="shared" si="158"/>
        <v>  (3.6)</v>
      </c>
      <c r="AF50" s="68" t="s">
        <v>44</v>
      </c>
      <c r="AG50" s="51">
        <v>-0.38681680466209667</v>
      </c>
      <c r="AH50" s="51">
        <v>-0.36747596442899183</v>
      </c>
      <c r="AI50" s="51">
        <v>-0.36747596442899183</v>
      </c>
      <c r="AJ50" s="51">
        <v>-0.36747596442899183</v>
      </c>
      <c r="AK50" s="51">
        <v>-0.36747596442899183</v>
      </c>
      <c r="AL50" s="51">
        <v>-0.36747596442899183</v>
      </c>
      <c r="AM50" s="51">
        <v>-0.36747596442899183</v>
      </c>
      <c r="AN50" s="51">
        <v>-0.36747596442899183</v>
      </c>
      <c r="AO50" s="51">
        <v>-0.36747596442899183</v>
      </c>
      <c r="AP50" s="51">
        <v>-0.36747596442899183</v>
      </c>
      <c r="AQ50" s="51">
        <v>-0.36747596442899183</v>
      </c>
      <c r="AR50" s="51">
        <v>-0.36747596442899183</v>
      </c>
      <c r="AS50" s="51" t="str">
        <f t="shared" si="159"/>
        <v>  (4.4)</v>
      </c>
      <c r="AU50" s="68" t="s">
        <v>44</v>
      </c>
      <c r="AV50" s="51" t="str">
        <f>VLOOKUP($AU50,'MKT UNITED 26'!$B$4:$O$22,'Mkt United + Troader 26'!AV$37,0)</f>
        <v>  (0.4)</v>
      </c>
      <c r="AW50" s="51" t="str">
        <f>VLOOKUP($AU50,'MKT UNITED 26'!$B$4:$O$22,'Mkt United + Troader 26'!AW$37,0)</f>
        <v>  (0.4)</v>
      </c>
      <c r="AX50" s="51" t="str">
        <f>VLOOKUP($AU50,'MKT UNITED 26'!$B$4:$O$22,'Mkt United + Troader 26'!AX$37,0)</f>
        <v>  (0.4)</v>
      </c>
      <c r="AY50" s="51" t="str">
        <f>VLOOKUP($AU50,'MKT UNITED 26'!$B$4:$O$22,'Mkt United + Troader 26'!AY$37,0)</f>
        <v>  (0.4)</v>
      </c>
      <c r="AZ50" s="51">
        <v>-0.42126174</v>
      </c>
      <c r="BA50" s="51">
        <v>-0.42126174</v>
      </c>
      <c r="BB50" s="51">
        <v>-0.42126174</v>
      </c>
      <c r="BC50" s="51">
        <v>-0.42126174</v>
      </c>
      <c r="BD50" s="51">
        <v>-0.42126174</v>
      </c>
      <c r="BE50" s="51">
        <v>-0.42126174</v>
      </c>
      <c r="BF50" s="51">
        <v>-0.42126174</v>
      </c>
      <c r="BG50" s="51">
        <v>-0.42126174</v>
      </c>
      <c r="BH50" s="51" t="str">
        <f t="shared" si="160"/>
        <v>  (5.0)</v>
      </c>
    </row>
    <row r="51" ht="15.75" customHeight="1">
      <c r="B51" s="68" t="s">
        <v>45</v>
      </c>
      <c r="C51" s="51">
        <v>-0.11542970000000001</v>
      </c>
      <c r="D51" s="51">
        <v>-0.1149817</v>
      </c>
      <c r="E51" s="51">
        <v>-0.119788</v>
      </c>
      <c r="F51" s="51">
        <v>-0.131862</v>
      </c>
      <c r="G51" s="51">
        <v>-0.12396005</v>
      </c>
      <c r="H51" s="51">
        <v>-0.12551</v>
      </c>
      <c r="I51" s="51">
        <v>-0.128336</v>
      </c>
      <c r="J51" s="51">
        <v>-0.14051885</v>
      </c>
      <c r="K51" s="51">
        <v>-0.121843</v>
      </c>
      <c r="L51" s="51">
        <v>-0.119325</v>
      </c>
      <c r="M51" s="51">
        <v>-0.119983</v>
      </c>
      <c r="N51" s="51">
        <v>-0.130237</v>
      </c>
      <c r="O51" s="51" t="str">
        <f t="shared" si="157"/>
        <v>  (1.5)</v>
      </c>
      <c r="Q51" s="68" t="s">
        <v>45</v>
      </c>
      <c r="R51" s="51">
        <v>-0.112415</v>
      </c>
      <c r="S51" s="51">
        <v>-0.19004147999999998</v>
      </c>
      <c r="T51" s="51">
        <v>-0.265314</v>
      </c>
      <c r="U51" s="51">
        <v>-0.2131</v>
      </c>
      <c r="V51" s="51">
        <v>-0.220684</v>
      </c>
      <c r="W51" s="51">
        <v>-0.217887</v>
      </c>
      <c r="X51" s="51">
        <v>-0.299068</v>
      </c>
      <c r="Y51" s="51">
        <v>-0.241672</v>
      </c>
      <c r="Z51" s="51">
        <v>-0.22960848</v>
      </c>
      <c r="AA51" s="51">
        <v>-0.22686801999999998</v>
      </c>
      <c r="AB51" s="51">
        <v>-0.27129468</v>
      </c>
      <c r="AC51" s="51">
        <v>-0.2301725</v>
      </c>
      <c r="AD51" s="51" t="str">
        <f t="shared" si="158"/>
        <v>  (2.7)</v>
      </c>
      <c r="AF51" s="68" t="s">
        <v>45</v>
      </c>
      <c r="AG51" s="51">
        <v>-0.273319330800001</v>
      </c>
      <c r="AH51" s="51">
        <v>-0.2342049983090939</v>
      </c>
      <c r="AI51" s="51">
        <v>-0.20044467450909395</v>
      </c>
      <c r="AJ51" s="51">
        <v>-0.21160667850909395</v>
      </c>
      <c r="AK51" s="51">
        <v>-0.20801396910909392</v>
      </c>
      <c r="AL51" s="51">
        <v>-0.21403749010909393</v>
      </c>
      <c r="AM51" s="51">
        <v>-0.21214274830909394</v>
      </c>
      <c r="AN51" s="51">
        <v>-0.211821249509094</v>
      </c>
      <c r="AO51" s="51">
        <v>-0.20824343610909396</v>
      </c>
      <c r="AP51" s="51">
        <v>-0.22866781210909395</v>
      </c>
      <c r="AQ51" s="51">
        <v>-0.20767621210909396</v>
      </c>
      <c r="AR51" s="51">
        <v>-0.20767621210909396</v>
      </c>
      <c r="AS51" s="51" t="str">
        <f t="shared" si="159"/>
        <v>  (2.6)</v>
      </c>
      <c r="AU51" s="68" t="s">
        <v>45</v>
      </c>
      <c r="AV51" s="51" t="str">
        <f>VLOOKUP($AU51,'MKT UNITED 26'!$B$4:$O$22,'Mkt United + Troader 26'!AV$37,0)</f>
        <v>  (0.3)</v>
      </c>
      <c r="AW51" s="51" t="str">
        <f>VLOOKUP($AU51,'MKT UNITED 26'!$B$4:$O$22,'Mkt United + Troader 26'!AW$37,0)</f>
        <v>  (0.3)</v>
      </c>
      <c r="AX51" s="51" t="str">
        <f>VLOOKUP($AU51,'MKT UNITED 26'!$B$4:$O$22,'Mkt United + Troader 26'!AX$37,0)</f>
        <v>  (0.3)</v>
      </c>
      <c r="AY51" s="51" t="str">
        <f>VLOOKUP($AU51,'MKT UNITED 26'!$B$4:$O$22,'Mkt United + Troader 26'!AY$37,0)</f>
        <v>  (0.3)</v>
      </c>
      <c r="AZ51" s="51">
        <v>-0.27368623999999997</v>
      </c>
      <c r="BA51" s="51">
        <v>-0.27368623999999997</v>
      </c>
      <c r="BB51" s="51">
        <v>-0.27368623999999997</v>
      </c>
      <c r="BC51" s="51">
        <v>-0.27368623999999997</v>
      </c>
      <c r="BD51" s="51">
        <v>-0.27368623999999997</v>
      </c>
      <c r="BE51" s="51">
        <v>-0.27368623999999997</v>
      </c>
      <c r="BF51" s="51">
        <v>-0.27368623999999997</v>
      </c>
      <c r="BG51" s="51">
        <v>-0.27368623999999997</v>
      </c>
      <c r="BH51" s="51" t="str">
        <f t="shared" si="160"/>
        <v>  (3.3)</v>
      </c>
    </row>
    <row r="52" ht="15.75" customHeight="1">
      <c r="B52" s="68" t="s">
        <v>46</v>
      </c>
      <c r="C52" s="51">
        <v>-1.591625E-4</v>
      </c>
      <c r="D52" s="51">
        <v>-1.591625E-4</v>
      </c>
      <c r="E52" s="51">
        <v>-1.605E-4</v>
      </c>
      <c r="F52" s="51">
        <v>-1.595E-4</v>
      </c>
      <c r="G52" s="51">
        <v>-0.020161928640155</v>
      </c>
      <c r="H52" s="51">
        <v>-0.0201600928640155</v>
      </c>
      <c r="I52" s="51">
        <v>-0.0190600928640155</v>
      </c>
      <c r="J52" s="51">
        <v>-0.01905</v>
      </c>
      <c r="K52" s="51">
        <v>-0.001905</v>
      </c>
      <c r="L52" s="51">
        <v>-0.001905</v>
      </c>
      <c r="M52" s="51">
        <v>-0.001903</v>
      </c>
      <c r="N52" s="51">
        <v>-0.001902</v>
      </c>
      <c r="O52" s="51" t="str">
        <f t="shared" si="157"/>
        <v>  (0.1)</v>
      </c>
      <c r="Q52" s="68" t="s">
        <v>46</v>
      </c>
      <c r="R52" s="51">
        <v>-1.556625E-4</v>
      </c>
      <c r="S52" s="51">
        <v>-1.556625E-4</v>
      </c>
      <c r="T52" s="51">
        <v>-1.57E-4</v>
      </c>
      <c r="U52" s="51">
        <v>-1.56E-4</v>
      </c>
      <c r="V52" s="51">
        <v>-1.46E-4</v>
      </c>
      <c r="W52" s="51">
        <v>-5.53E-4</v>
      </c>
      <c r="X52" s="51">
        <v>-6.48E-4</v>
      </c>
      <c r="Y52" s="51">
        <v>-6.47E-4</v>
      </c>
      <c r="Z52" s="51">
        <v>-6.8E-4</v>
      </c>
      <c r="AA52" s="51">
        <v>-1.8E-4</v>
      </c>
      <c r="AB52" s="51">
        <v>-2.0E-4</v>
      </c>
      <c r="AC52" s="51">
        <v>-2.0E-4</v>
      </c>
      <c r="AD52" s="51" t="str">
        <f t="shared" si="158"/>
        <v>  (0.0)</v>
      </c>
      <c r="AF52" s="68" t="s">
        <v>46</v>
      </c>
      <c r="AG52" s="51">
        <v>-1.6344562500000001E-4</v>
      </c>
      <c r="AH52" s="51">
        <v>-1.6344562500000001E-4</v>
      </c>
      <c r="AI52" s="51">
        <v>-1.6485E-4</v>
      </c>
      <c r="AJ52" s="51">
        <v>-1.638E-4</v>
      </c>
      <c r="AK52" s="51">
        <v>-1.533E-4</v>
      </c>
      <c r="AL52" s="51">
        <v>-1.6065E-4</v>
      </c>
      <c r="AM52" s="51">
        <v>-6.7935E-4</v>
      </c>
      <c r="AN52" s="51">
        <v>-6.7935E-4</v>
      </c>
      <c r="AO52" s="51">
        <v>-0.0021002625</v>
      </c>
      <c r="AP52" s="51">
        <v>-0.029884233149427997</v>
      </c>
      <c r="AQ52" s="51">
        <v>-0.029884233149427997</v>
      </c>
      <c r="AR52" s="51">
        <v>-0.029884233149427997</v>
      </c>
      <c r="AS52" s="51" t="str">
        <f t="shared" si="159"/>
        <v>  (0.1)</v>
      </c>
      <c r="AU52" s="68" t="s">
        <v>46</v>
      </c>
      <c r="AV52" s="51" t="str">
        <f>VLOOKUP($AU52,'MKT UNITED 26'!$B$4:$O$22,'Mkt United + Troader 26'!AV$37,0)</f>
        <v>  (0.0)</v>
      </c>
      <c r="AW52" s="51" t="str">
        <f>VLOOKUP($AU52,'MKT UNITED 26'!$B$4:$O$22,'Mkt United + Troader 26'!AW$37,0)</f>
        <v>  (0.0)</v>
      </c>
      <c r="AX52" s="51" t="str">
        <f>VLOOKUP($AU52,'MKT UNITED 26'!$B$4:$O$22,'Mkt United + Troader 26'!AX$37,0)</f>
        <v>  (0.0)</v>
      </c>
      <c r="AY52" s="51" t="str">
        <f>VLOOKUP($AU52,'MKT UNITED 26'!$B$4:$O$22,'Mkt United + Troader 26'!AY$37,0)</f>
        <v>  (0.0)</v>
      </c>
      <c r="AZ52" s="51">
        <v>-1.688E-4</v>
      </c>
      <c r="BA52" s="51">
        <v>-1.688E-4</v>
      </c>
      <c r="BB52" s="51">
        <v>-1.688E-4</v>
      </c>
      <c r="BC52" s="51">
        <v>-1.688E-4</v>
      </c>
      <c r="BD52" s="51">
        <v>-1.688E-4</v>
      </c>
      <c r="BE52" s="51">
        <v>-1.688E-4</v>
      </c>
      <c r="BF52" s="51">
        <v>-1.688E-4</v>
      </c>
      <c r="BG52" s="51">
        <v>-1.688E-4</v>
      </c>
      <c r="BH52" s="51" t="str">
        <f t="shared" si="160"/>
        <v>  (0.0)</v>
      </c>
    </row>
    <row r="53" ht="15.75" customHeight="1">
      <c r="B53" s="68" t="s">
        <v>47</v>
      </c>
      <c r="C53" s="51">
        <v>-0.189106</v>
      </c>
      <c r="D53" s="51">
        <v>-0.0901657059239819</v>
      </c>
      <c r="E53" s="51">
        <v>-0.15660253</v>
      </c>
      <c r="F53" s="51">
        <v>-0.19773679</v>
      </c>
      <c r="G53" s="51">
        <v>-0.192954</v>
      </c>
      <c r="H53" s="51">
        <v>-0.2070504</v>
      </c>
      <c r="I53" s="51">
        <v>-0.33485293</v>
      </c>
      <c r="J53" s="51">
        <v>-0.34829167</v>
      </c>
      <c r="K53" s="51">
        <v>-0.2871411</v>
      </c>
      <c r="L53" s="51">
        <v>-0.27746723</v>
      </c>
      <c r="M53" s="51">
        <v>-0.280313</v>
      </c>
      <c r="N53" s="51">
        <v>-0.252433</v>
      </c>
      <c r="O53" s="51" t="str">
        <f t="shared" si="157"/>
        <v>  (2.8)</v>
      </c>
      <c r="Q53" s="68" t="s">
        <v>47</v>
      </c>
      <c r="R53" s="51">
        <v>-0.43258951</v>
      </c>
      <c r="S53" s="51">
        <v>-0.3879871</v>
      </c>
      <c r="T53" s="51">
        <v>-0.38034271999999997</v>
      </c>
      <c r="U53" s="51">
        <v>-0.358139</v>
      </c>
      <c r="V53" s="51">
        <v>-0.44243435</v>
      </c>
      <c r="W53" s="51">
        <v>-0.496775</v>
      </c>
      <c r="X53" s="51">
        <v>-0.53370306</v>
      </c>
      <c r="Y53" s="51">
        <v>-0.50577813</v>
      </c>
      <c r="Z53" s="51">
        <v>-0.5597211999999999</v>
      </c>
      <c r="AA53" s="51">
        <v>-0.459092</v>
      </c>
      <c r="AB53" s="51">
        <v>-0.51010665</v>
      </c>
      <c r="AC53" s="51">
        <v>-0.96552554</v>
      </c>
      <c r="AD53" s="51" t="str">
        <f t="shared" si="158"/>
        <v>  (6.0)</v>
      </c>
      <c r="AF53" s="68" t="s">
        <v>47</v>
      </c>
      <c r="AG53" s="51">
        <v>-0.51010665</v>
      </c>
      <c r="AH53" s="51">
        <v>-0.51010665</v>
      </c>
      <c r="AI53" s="51">
        <v>-0.51010665</v>
      </c>
      <c r="AJ53" s="51">
        <v>-0.51010665</v>
      </c>
      <c r="AK53" s="51">
        <v>-0.51010665</v>
      </c>
      <c r="AL53" s="51">
        <v>-0.51010665</v>
      </c>
      <c r="AM53" s="51">
        <v>-0.51010665</v>
      </c>
      <c r="AN53" s="51">
        <v>-0.51010665</v>
      </c>
      <c r="AO53" s="51">
        <v>-0.51010665</v>
      </c>
      <c r="AP53" s="51">
        <v>-0.51010665</v>
      </c>
      <c r="AQ53" s="51">
        <v>-0.51010665</v>
      </c>
      <c r="AR53" s="51">
        <v>-0.51010665</v>
      </c>
      <c r="AS53" s="51" t="str">
        <f t="shared" si="159"/>
        <v>  (6.1)</v>
      </c>
      <c r="AU53" s="68" t="s">
        <v>47</v>
      </c>
      <c r="AV53" s="51" t="str">
        <f>VLOOKUP($AU53,'MKT UNITED 26'!$B$4:$O$22,'Mkt United + Troader 26'!AV$37,0)</f>
        <v>  (0.5)</v>
      </c>
      <c r="AW53" s="51" t="str">
        <f>VLOOKUP($AU53,'MKT UNITED 26'!$B$4:$O$22,'Mkt United + Troader 26'!AW$37,0)</f>
        <v>  (0.5)</v>
      </c>
      <c r="AX53" s="51" t="str">
        <f>VLOOKUP($AU53,'MKT UNITED 26'!$B$4:$O$22,'Mkt United + Troader 26'!AX$37,0)</f>
        <v>  (0.4)</v>
      </c>
      <c r="AY53" s="51" t="str">
        <f>VLOOKUP($AU53,'MKT UNITED 26'!$B$4:$O$22,'Mkt United + Troader 26'!AY$37,0)</f>
        <v>  (0.5)</v>
      </c>
      <c r="AZ53" s="51">
        <v>-0.39021490000000003</v>
      </c>
      <c r="BA53" s="51">
        <v>-0.39021490000000003</v>
      </c>
      <c r="BB53" s="51">
        <v>-0.39021490000000003</v>
      </c>
      <c r="BC53" s="51">
        <v>-0.39021490000000003</v>
      </c>
      <c r="BD53" s="51">
        <v>-0.39021490000000003</v>
      </c>
      <c r="BE53" s="51">
        <v>-0.39021490000000003</v>
      </c>
      <c r="BF53" s="51">
        <v>-0.39021490000000003</v>
      </c>
      <c r="BG53" s="51">
        <v>-0.39021490000000003</v>
      </c>
      <c r="BH53" s="51" t="str">
        <f t="shared" si="160"/>
        <v>  (5.0)</v>
      </c>
    </row>
    <row r="54" ht="15.75" customHeight="1">
      <c r="B54" s="68" t="s">
        <v>48</v>
      </c>
      <c r="C54" s="51">
        <v>-1.011614</v>
      </c>
      <c r="D54" s="51">
        <v>-1.008367</v>
      </c>
      <c r="E54" s="51">
        <v>-1.086478</v>
      </c>
      <c r="F54" s="51">
        <v>-1.134169</v>
      </c>
      <c r="G54" s="51">
        <v>-1.213996</v>
      </c>
      <c r="H54" s="51">
        <v>-1.22495</v>
      </c>
      <c r="I54" s="51">
        <v>-1.39534146589421</v>
      </c>
      <c r="J54" s="51">
        <v>-1.16255159895701</v>
      </c>
      <c r="K54" s="51">
        <v>-1.7105640255725647</v>
      </c>
      <c r="L54" s="51">
        <v>-1.590434</v>
      </c>
      <c r="M54" s="51">
        <v>-1.52976350039957</v>
      </c>
      <c r="N54" s="51">
        <v>-2.009486</v>
      </c>
      <c r="O54" s="51" t="str">
        <f t="shared" si="157"/>
        <v>  (16.1)</v>
      </c>
      <c r="Q54" s="68" t="s">
        <v>48</v>
      </c>
      <c r="R54" s="51">
        <v>-1.18850500630332</v>
      </c>
      <c r="S54" s="51">
        <v>-1.18422021512197</v>
      </c>
      <c r="T54" s="51">
        <v>-1.27674389839122</v>
      </c>
      <c r="U54" s="51">
        <v>-1.395286</v>
      </c>
      <c r="V54" s="51">
        <v>-1.51486781435398</v>
      </c>
      <c r="W54" s="51">
        <v>-1.61347203</v>
      </c>
      <c r="X54" s="51">
        <v>-1.4512436999999998</v>
      </c>
      <c r="Y54" s="51">
        <v>-1.44393560921634</v>
      </c>
      <c r="Z54" s="51">
        <v>-1.36977784</v>
      </c>
      <c r="AA54" s="51">
        <v>-1.60292175</v>
      </c>
      <c r="AB54" s="51">
        <v>-1.4618729799999999</v>
      </c>
      <c r="AC54" s="51">
        <v>-1.74378074</v>
      </c>
      <c r="AD54" s="51" t="str">
        <f t="shared" si="158"/>
        <v>  (17.2)</v>
      </c>
      <c r="AF54" s="68" t="s">
        <v>48</v>
      </c>
      <c r="AG54" s="51">
        <v>-1.35221684275129</v>
      </c>
      <c r="AH54" s="51">
        <v>-1.4532884230270642</v>
      </c>
      <c r="AI54" s="51">
        <v>-1.4944163795857703</v>
      </c>
      <c r="AJ54" s="51">
        <v>-1.4322186038177374</v>
      </c>
      <c r="AK54" s="51">
        <v>-1.4400309789801713</v>
      </c>
      <c r="AL54" s="51">
        <v>-1.436740764189603</v>
      </c>
      <c r="AM54" s="51">
        <v>-1.4763210453356688</v>
      </c>
      <c r="AN54" s="51">
        <v>-1.4611031366949567</v>
      </c>
      <c r="AO54" s="51">
        <v>-1.5557300289430316</v>
      </c>
      <c r="AP54" s="51">
        <v>-1.5276189709126136</v>
      </c>
      <c r="AQ54" s="51">
        <v>-1.6039684799636158</v>
      </c>
      <c r="AR54" s="51">
        <v>-1.603816217383581</v>
      </c>
      <c r="AS54" s="51" t="str">
        <f t="shared" si="159"/>
        <v>  (17.8)</v>
      </c>
      <c r="AU54" s="68" t="s">
        <v>48</v>
      </c>
      <c r="AV54" s="51" t="str">
        <f>VLOOKUP($AU54,'MKT UNITED 26'!$B$4:$O$22,'Mkt United + Troader 26'!AV$37,0)</f>
        <v>  (1.3)</v>
      </c>
      <c r="AW54" s="51" t="str">
        <f>VLOOKUP($AU54,'MKT UNITED 26'!$B$4:$O$22,'Mkt United + Troader 26'!AW$37,0)</f>
        <v>  (1.5)</v>
      </c>
      <c r="AX54" s="51" t="str">
        <f>VLOOKUP($AU54,'MKT UNITED 26'!$B$4:$O$22,'Mkt United + Troader 26'!AX$37,0)</f>
        <v>  (1.3)</v>
      </c>
      <c r="AY54" s="51" t="str">
        <f>VLOOKUP($AU54,'MKT UNITED 26'!$B$4:$O$22,'Mkt United + Troader 26'!AY$37,0)</f>
        <v>  (1.3)</v>
      </c>
      <c r="AZ54" s="51">
        <v>-1.4400309789801713</v>
      </c>
      <c r="BA54" s="51">
        <v>-1.436740764189603</v>
      </c>
      <c r="BB54" s="51">
        <v>-1.4763210453356688</v>
      </c>
      <c r="BC54" s="51">
        <v>-1.4611031366949567</v>
      </c>
      <c r="BD54" s="51">
        <v>-1.5557300289430316</v>
      </c>
      <c r="BE54" s="51">
        <v>-1.5276189709126136</v>
      </c>
      <c r="BF54" s="51">
        <v>-1.6039684799636158</v>
      </c>
      <c r="BG54" s="51">
        <v>-1.603816217383581</v>
      </c>
      <c r="BH54" s="51" t="str">
        <f t="shared" si="160"/>
        <v>  (17.5)</v>
      </c>
    </row>
    <row r="55" ht="15.75" customHeight="1">
      <c r="B55" s="59" t="s">
        <v>49</v>
      </c>
      <c r="C55" s="60" t="str">
        <f t="shared" ref="C55:O55" si="161">+SUM(C47:C54)</f>
        <v>  (4.0)</v>
      </c>
      <c r="D55" s="60" t="str">
        <f t="shared" si="161"/>
        <v>  (3.8)</v>
      </c>
      <c r="E55" s="60" t="str">
        <f t="shared" si="161"/>
        <v>  (4.4)</v>
      </c>
      <c r="F55" s="60" t="str">
        <f t="shared" si="161"/>
        <v>  (4.3)</v>
      </c>
      <c r="G55" s="60" t="str">
        <f t="shared" si="161"/>
        <v>  (4.3)</v>
      </c>
      <c r="H55" s="60" t="str">
        <f t="shared" si="161"/>
        <v>  (4.5)</v>
      </c>
      <c r="I55" s="60" t="str">
        <f t="shared" si="161"/>
        <v>  (4.8)</v>
      </c>
      <c r="J55" s="60" t="str">
        <f t="shared" si="161"/>
        <v>  (4.7)</v>
      </c>
      <c r="K55" s="60" t="str">
        <f t="shared" si="161"/>
        <v>  (5.4)</v>
      </c>
      <c r="L55" s="60" t="str">
        <f t="shared" si="161"/>
        <v>  (5.4)</v>
      </c>
      <c r="M55" s="60" t="str">
        <f t="shared" si="161"/>
        <v>  (5.5)</v>
      </c>
      <c r="N55" s="60" t="str">
        <f t="shared" si="161"/>
        <v>  (6.1)</v>
      </c>
      <c r="O55" s="60" t="str">
        <f t="shared" si="161"/>
        <v>  (57.2)</v>
      </c>
      <c r="Q55" s="59" t="s">
        <v>49</v>
      </c>
      <c r="R55" s="60" t="str">
        <f t="shared" ref="R55:AD55" si="162">+SUM(R47:R54)</f>
        <v>  (5.2)</v>
      </c>
      <c r="S55" s="60" t="str">
        <f t="shared" si="162"/>
        <v>  (6.1)</v>
      </c>
      <c r="T55" s="60" t="str">
        <f t="shared" si="162"/>
        <v>  (6.1)</v>
      </c>
      <c r="U55" s="60" t="str">
        <f t="shared" si="162"/>
        <v>  (6.0)</v>
      </c>
      <c r="V55" s="60" t="str">
        <f t="shared" si="162"/>
        <v>  (6.4)</v>
      </c>
      <c r="W55" s="60" t="str">
        <f t="shared" si="162"/>
        <v>  (6.3)</v>
      </c>
      <c r="X55" s="60" t="str">
        <f t="shared" si="162"/>
        <v>  (5.8)</v>
      </c>
      <c r="Y55" s="60" t="str">
        <f t="shared" si="162"/>
        <v>  (6.3)</v>
      </c>
      <c r="Z55" s="60" t="str">
        <f t="shared" si="162"/>
        <v>  (6.6)</v>
      </c>
      <c r="AA55" s="60" t="str">
        <f t="shared" si="162"/>
        <v>  (6.3)</v>
      </c>
      <c r="AB55" s="60" t="str">
        <f t="shared" si="162"/>
        <v>  (6.9)</v>
      </c>
      <c r="AC55" s="60" t="str">
        <f t="shared" si="162"/>
        <v>  (8.1)</v>
      </c>
      <c r="AD55" s="60" t="str">
        <f t="shared" si="162"/>
        <v>  (76.1)</v>
      </c>
      <c r="AF55" s="59" t="s">
        <v>49</v>
      </c>
      <c r="AG55" s="60" t="str">
        <f t="shared" ref="AG55:AS55" si="163">+SUM(AG47:AG54)</f>
        <v>  (7.5)</v>
      </c>
      <c r="AH55" s="60" t="str">
        <f t="shared" si="163"/>
        <v>  (7.9)</v>
      </c>
      <c r="AI55" s="60" t="str">
        <f t="shared" si="163"/>
        <v>  (7.5)</v>
      </c>
      <c r="AJ55" s="60" t="str">
        <f t="shared" si="163"/>
        <v>  (7.3)</v>
      </c>
      <c r="AK55" s="60" t="str">
        <f t="shared" si="163"/>
        <v>  (7.2)</v>
      </c>
      <c r="AL55" s="60" t="str">
        <f t="shared" si="163"/>
        <v>  (7.2)</v>
      </c>
      <c r="AM55" s="60" t="str">
        <f t="shared" si="163"/>
        <v>  (7.1)</v>
      </c>
      <c r="AN55" s="60" t="str">
        <f t="shared" si="163"/>
        <v>  (7.1)</v>
      </c>
      <c r="AO55" s="60" t="str">
        <f t="shared" si="163"/>
        <v>  (7.2)</v>
      </c>
      <c r="AP55" s="60" t="str">
        <f t="shared" si="163"/>
        <v>  (7.2)</v>
      </c>
      <c r="AQ55" s="60" t="str">
        <f t="shared" si="163"/>
        <v>  (7.3)</v>
      </c>
      <c r="AR55" s="60" t="str">
        <f t="shared" si="163"/>
        <v>  (7.3)</v>
      </c>
      <c r="AS55" s="60" t="str">
        <f t="shared" si="163"/>
        <v>  (87.8)</v>
      </c>
      <c r="AU55" s="59" t="s">
        <v>49</v>
      </c>
      <c r="AV55" s="60" t="str">
        <f t="shared" ref="AV55:BH55" si="164">+SUM(AV47:AV54)</f>
        <v>  (7.0)</v>
      </c>
      <c r="AW55" s="60" t="str">
        <f t="shared" si="164"/>
        <v>  (6.7)</v>
      </c>
      <c r="AX55" s="60" t="str">
        <f t="shared" si="164"/>
        <v>  (6.5)</v>
      </c>
      <c r="AY55" s="60" t="str">
        <f t="shared" si="164"/>
        <v>  (6.7)</v>
      </c>
      <c r="AZ55" s="60" t="str">
        <f t="shared" si="164"/>
        <v>  (7.0)</v>
      </c>
      <c r="BA55" s="60" t="str">
        <f t="shared" si="164"/>
        <v>  (7.0)</v>
      </c>
      <c r="BB55" s="60" t="str">
        <f t="shared" si="164"/>
        <v>  (6.9)</v>
      </c>
      <c r="BC55" s="60" t="str">
        <f t="shared" si="164"/>
        <v>  (6.9)</v>
      </c>
      <c r="BD55" s="60" t="str">
        <f t="shared" si="164"/>
        <v>  (6.9)</v>
      </c>
      <c r="BE55" s="60" t="str">
        <f t="shared" si="164"/>
        <v>  (6.9)</v>
      </c>
      <c r="BF55" s="60" t="str">
        <f t="shared" si="164"/>
        <v>  (7.0)</v>
      </c>
      <c r="BG55" s="60" t="str">
        <f t="shared" si="164"/>
        <v>  (7.0)</v>
      </c>
      <c r="BH55" s="60" t="str">
        <f t="shared" si="164"/>
        <v>  (82.4)</v>
      </c>
    </row>
    <row r="56" ht="15.75" customHeight="1">
      <c r="B56" s="95" t="s">
        <v>50</v>
      </c>
      <c r="C56" s="96" t="str">
        <f t="shared" ref="C56:O56" si="165">C46+C55</f>
        <v>  2.6 </v>
      </c>
      <c r="D56" s="96" t="str">
        <f t="shared" si="165"/>
        <v>  2.6 </v>
      </c>
      <c r="E56" s="96" t="str">
        <f t="shared" si="165"/>
        <v>  6.5 </v>
      </c>
      <c r="F56" s="96" t="str">
        <f t="shared" si="165"/>
        <v>  (2.6)</v>
      </c>
      <c r="G56" s="96" t="str">
        <f t="shared" si="165"/>
        <v>  12.6 </v>
      </c>
      <c r="H56" s="96" t="str">
        <f t="shared" si="165"/>
        <v>  3.9 </v>
      </c>
      <c r="I56" s="96" t="str">
        <f t="shared" si="165"/>
        <v>  6.9 </v>
      </c>
      <c r="J56" s="96" t="str">
        <f t="shared" si="165"/>
        <v>  9.4 </v>
      </c>
      <c r="K56" s="96" t="str">
        <f t="shared" si="165"/>
        <v>  5.9 </v>
      </c>
      <c r="L56" s="96" t="str">
        <f t="shared" si="165"/>
        <v>  8.7 </v>
      </c>
      <c r="M56" s="96" t="str">
        <f t="shared" si="165"/>
        <v>  12.9 </v>
      </c>
      <c r="N56" s="96" t="str">
        <f t="shared" si="165"/>
        <v>  13.2 </v>
      </c>
      <c r="O56" s="96" t="str">
        <f t="shared" si="165"/>
        <v>  82.5 </v>
      </c>
      <c r="Q56" s="95" t="s">
        <v>50</v>
      </c>
      <c r="R56" s="96" t="str">
        <f t="shared" ref="R56:AD56" si="166">R46+R55</f>
        <v>  2.2 </v>
      </c>
      <c r="S56" s="96" t="str">
        <f t="shared" si="166"/>
        <v>  3.1 </v>
      </c>
      <c r="T56" s="96" t="str">
        <f t="shared" si="166"/>
        <v>  5.1 </v>
      </c>
      <c r="U56" s="96" t="str">
        <f t="shared" si="166"/>
        <v>  6.3 </v>
      </c>
      <c r="V56" s="96" t="str">
        <f t="shared" si="166"/>
        <v>  3.5 </v>
      </c>
      <c r="W56" s="96" t="str">
        <f t="shared" si="166"/>
        <v>  7.1 </v>
      </c>
      <c r="X56" s="96" t="str">
        <f t="shared" si="166"/>
        <v>  3.4 </v>
      </c>
      <c r="Y56" s="96" t="str">
        <f t="shared" si="166"/>
        <v>  8.7 </v>
      </c>
      <c r="Z56" s="96" t="str">
        <f t="shared" si="166"/>
        <v>  9.2 </v>
      </c>
      <c r="AA56" s="96" t="str">
        <f t="shared" si="166"/>
        <v>  10.1 </v>
      </c>
      <c r="AB56" s="96" t="str">
        <f t="shared" si="166"/>
        <v>  24.0 </v>
      </c>
      <c r="AC56" s="96" t="str">
        <f t="shared" si="166"/>
        <v>  (12.6)</v>
      </c>
      <c r="AD56" s="96" t="str">
        <f t="shared" si="166"/>
        <v>  70.0 </v>
      </c>
      <c r="AF56" s="95" t="s">
        <v>50</v>
      </c>
      <c r="AG56" s="96" t="str">
        <f t="shared" ref="AG56:AS56" si="167">AG46+AG55</f>
        <v>  2.5 </v>
      </c>
      <c r="AH56" s="96" t="str">
        <f t="shared" si="167"/>
        <v>  2.1 </v>
      </c>
      <c r="AI56" s="96" t="str">
        <f t="shared" si="167"/>
        <v>  1.8 </v>
      </c>
      <c r="AJ56" s="96" t="str">
        <f t="shared" si="167"/>
        <v>  4.6 </v>
      </c>
      <c r="AK56" s="96" t="str">
        <f t="shared" si="167"/>
        <v>  9.1 </v>
      </c>
      <c r="AL56" s="96" t="str">
        <f t="shared" si="167"/>
        <v>  7.1 </v>
      </c>
      <c r="AM56" s="96" t="str">
        <f t="shared" si="167"/>
        <v>  5.3 </v>
      </c>
      <c r="AN56" s="96" t="str">
        <f t="shared" si="167"/>
        <v>  11.0 </v>
      </c>
      <c r="AO56" s="96" t="str">
        <f t="shared" si="167"/>
        <v>  11.6 </v>
      </c>
      <c r="AP56" s="96" t="str">
        <f t="shared" si="167"/>
        <v>  12.1 </v>
      </c>
      <c r="AQ56" s="96" t="str">
        <f t="shared" si="167"/>
        <v>  13.6 </v>
      </c>
      <c r="AR56" s="96" t="str">
        <f t="shared" si="167"/>
        <v>  26.2 </v>
      </c>
      <c r="AS56" s="96" t="str">
        <f t="shared" si="167"/>
        <v>  107.2 </v>
      </c>
      <c r="AU56" s="95" t="s">
        <v>50</v>
      </c>
      <c r="AV56" s="96" t="str">
        <f t="shared" ref="AV56:BH56" si="168">AV46+AV55</f>
        <v>  (1.4)</v>
      </c>
      <c r="AW56" s="96" t="str">
        <f t="shared" si="168"/>
        <v>  6.2 </v>
      </c>
      <c r="AX56" s="96" t="str">
        <f t="shared" si="168"/>
        <v>  2.6 </v>
      </c>
      <c r="AY56" s="96" t="str">
        <f t="shared" si="168"/>
        <v>  8.8 </v>
      </c>
      <c r="AZ56" s="96" t="str">
        <f t="shared" si="168"/>
        <v>  8.2 </v>
      </c>
      <c r="BA56" s="96" t="str">
        <f t="shared" si="168"/>
        <v>  6.4 </v>
      </c>
      <c r="BB56" s="96" t="str">
        <f t="shared" si="168"/>
        <v>  4.2 </v>
      </c>
      <c r="BC56" s="96" t="str">
        <f t="shared" si="168"/>
        <v>  7.9 </v>
      </c>
      <c r="BD56" s="96" t="str">
        <f t="shared" si="168"/>
        <v>  9.7 </v>
      </c>
      <c r="BE56" s="96" t="str">
        <f t="shared" si="168"/>
        <v>  9.1 </v>
      </c>
      <c r="BF56" s="96" t="str">
        <f t="shared" si="168"/>
        <v>  20.8 </v>
      </c>
      <c r="BG56" s="96" t="str">
        <f t="shared" si="168"/>
        <v>  17.5 </v>
      </c>
      <c r="BH56" s="96" t="str">
        <f t="shared" si="168"/>
        <v>  100.0 </v>
      </c>
    </row>
    <row r="57" ht="15.75" customHeight="1">
      <c r="B57" s="86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Q57" s="86"/>
      <c r="R57" s="87"/>
      <c r="S57" s="87"/>
      <c r="T57" s="87"/>
      <c r="U57" s="87"/>
      <c r="V57" s="87"/>
      <c r="W57" s="87"/>
      <c r="X57" s="87"/>
      <c r="Y57" s="87"/>
      <c r="Z57" s="87"/>
      <c r="AA57" s="87"/>
      <c r="AB57" s="87"/>
      <c r="AC57" s="87"/>
      <c r="AD57" s="87"/>
      <c r="AF57" s="86"/>
      <c r="AG57" s="87"/>
      <c r="AH57" s="87"/>
      <c r="AI57" s="87"/>
      <c r="AJ57" s="87"/>
      <c r="AK57" s="87"/>
      <c r="AL57" s="87"/>
      <c r="AM57" s="87"/>
      <c r="AN57" s="87"/>
      <c r="AO57" s="87"/>
      <c r="AP57" s="87"/>
      <c r="AQ57" s="87"/>
      <c r="AR57" s="87"/>
      <c r="AS57" s="87"/>
      <c r="AU57" s="86"/>
      <c r="AV57" s="87"/>
      <c r="AW57" s="87"/>
      <c r="AX57" s="87"/>
      <c r="AY57" s="87"/>
      <c r="AZ57" s="87"/>
      <c r="BA57" s="87"/>
      <c r="BB57" s="87"/>
      <c r="BC57" s="87"/>
      <c r="BD57" s="87"/>
      <c r="BE57" s="87"/>
      <c r="BF57" s="87"/>
      <c r="BG57" s="87"/>
      <c r="BH57" s="87"/>
    </row>
    <row r="58" ht="15.75" customHeight="1">
      <c r="B58" s="59" t="s">
        <v>52</v>
      </c>
      <c r="C58" s="88" t="str">
        <f t="shared" ref="C58:O58" si="169">C56/C41</f>
        <v>15%</v>
      </c>
      <c r="D58" s="88" t="str">
        <f t="shared" si="169"/>
        <v>11%</v>
      </c>
      <c r="E58" s="88" t="str">
        <f t="shared" si="169"/>
        <v>22%</v>
      </c>
      <c r="F58" s="88" t="str">
        <f t="shared" si="169"/>
        <v>(6%)</v>
      </c>
      <c r="G58" s="88" t="str">
        <f t="shared" si="169"/>
        <v>35%</v>
      </c>
      <c r="H58" s="88" t="str">
        <f t="shared" si="169"/>
        <v>8%</v>
      </c>
      <c r="I58" s="88" t="str">
        <f t="shared" si="169"/>
        <v>23%</v>
      </c>
      <c r="J58" s="88" t="str">
        <f t="shared" si="169"/>
        <v>23%</v>
      </c>
      <c r="K58" s="88" t="str">
        <f t="shared" si="169"/>
        <v>18%</v>
      </c>
      <c r="L58" s="88" t="str">
        <f t="shared" si="169"/>
        <v>18%</v>
      </c>
      <c r="M58" s="88" t="str">
        <f t="shared" si="169"/>
        <v>18%</v>
      </c>
      <c r="N58" s="88" t="str">
        <f t="shared" si="169"/>
        <v>27%</v>
      </c>
      <c r="O58" s="88" t="str">
        <f t="shared" si="169"/>
        <v>18%</v>
      </c>
      <c r="Q58" s="59" t="s">
        <v>52</v>
      </c>
      <c r="R58" s="88" t="str">
        <f t="shared" ref="R58:AD58" si="170">R56/R41</f>
        <v>10%</v>
      </c>
      <c r="S58" s="88" t="str">
        <f t="shared" si="170"/>
        <v>11%</v>
      </c>
      <c r="T58" s="88" t="str">
        <f t="shared" si="170"/>
        <v>16%</v>
      </c>
      <c r="U58" s="88" t="str">
        <f t="shared" si="170"/>
        <v>20%</v>
      </c>
      <c r="V58" s="88" t="str">
        <f t="shared" si="170"/>
        <v>11%</v>
      </c>
      <c r="W58" s="88" t="str">
        <f t="shared" si="170"/>
        <v>21%</v>
      </c>
      <c r="X58" s="88" t="str">
        <f t="shared" si="170"/>
        <v>13%</v>
      </c>
      <c r="Y58" s="88" t="str">
        <f t="shared" si="170"/>
        <v>22%</v>
      </c>
      <c r="Z58" s="88" t="str">
        <f t="shared" si="170"/>
        <v>21%</v>
      </c>
      <c r="AA58" s="88" t="str">
        <f t="shared" si="170"/>
        <v>22%</v>
      </c>
      <c r="AB58" s="88" t="str">
        <f t="shared" si="170"/>
        <v>30%</v>
      </c>
      <c r="AC58" s="88" t="str">
        <f t="shared" si="170"/>
        <v>(18%)</v>
      </c>
      <c r="AD58" s="88" t="str">
        <f t="shared" si="170"/>
        <v>15%</v>
      </c>
      <c r="AF58" s="59" t="s">
        <v>52</v>
      </c>
      <c r="AG58" s="88" t="str">
        <f t="shared" ref="AG58:AS58" si="171">AG56/AG41</f>
        <v>10%</v>
      </c>
      <c r="AH58" s="88" t="str">
        <f t="shared" si="171"/>
        <v>8%</v>
      </c>
      <c r="AI58" s="88" t="str">
        <f t="shared" si="171"/>
        <v>8%</v>
      </c>
      <c r="AJ58" s="88" t="str">
        <f t="shared" si="171"/>
        <v>15%</v>
      </c>
      <c r="AK58" s="88" t="str">
        <f t="shared" si="171"/>
        <v>22%</v>
      </c>
      <c r="AL58" s="88" t="str">
        <f t="shared" si="171"/>
        <v>19%</v>
      </c>
      <c r="AM58" s="88" t="str">
        <f t="shared" si="171"/>
        <v>17%</v>
      </c>
      <c r="AN58" s="88" t="str">
        <f t="shared" si="171"/>
        <v>24%</v>
      </c>
      <c r="AO58" s="88" t="str">
        <f t="shared" si="171"/>
        <v>24%</v>
      </c>
      <c r="AP58" s="88" t="str">
        <f t="shared" si="171"/>
        <v>24%</v>
      </c>
      <c r="AQ58" s="88" t="str">
        <f t="shared" si="171"/>
        <v>25%</v>
      </c>
      <c r="AR58" s="88" t="str">
        <f t="shared" si="171"/>
        <v>30%</v>
      </c>
      <c r="AS58" s="88" t="str">
        <f t="shared" si="171"/>
        <v>21%</v>
      </c>
      <c r="AU58" s="59" t="s">
        <v>52</v>
      </c>
      <c r="AV58" s="88" t="str">
        <f t="shared" ref="AV58:BH58" si="172">AV56/AV41</f>
        <v>(8%)</v>
      </c>
      <c r="AW58" s="88" t="str">
        <f t="shared" si="172"/>
        <v>19%</v>
      </c>
      <c r="AX58" s="88" t="str">
        <f t="shared" si="172"/>
        <v>10%</v>
      </c>
      <c r="AY58" s="88" t="str">
        <f t="shared" si="172"/>
        <v>22%</v>
      </c>
      <c r="AZ58" s="88" t="str">
        <f t="shared" si="172"/>
        <v>20%</v>
      </c>
      <c r="BA58" s="88" t="str">
        <f t="shared" si="172"/>
        <v>17%</v>
      </c>
      <c r="BB58" s="88" t="str">
        <f t="shared" si="172"/>
        <v>14%</v>
      </c>
      <c r="BC58" s="88" t="str">
        <f t="shared" si="172"/>
        <v>20%</v>
      </c>
      <c r="BD58" s="88" t="str">
        <f t="shared" si="172"/>
        <v>22%</v>
      </c>
      <c r="BE58" s="88" t="str">
        <f t="shared" si="172"/>
        <v>21%</v>
      </c>
      <c r="BF58" s="88" t="str">
        <f t="shared" si="172"/>
        <v>28%</v>
      </c>
      <c r="BG58" s="88" t="str">
        <f t="shared" si="172"/>
        <v>26%</v>
      </c>
      <c r="BH58" s="88" t="str">
        <f t="shared" si="172"/>
        <v>20%</v>
      </c>
    </row>
    <row r="59" ht="15.75" customHeight="1"/>
    <row r="60" ht="15.75" customHeight="1"/>
    <row r="61" ht="15.75" customHeight="1"/>
    <row r="62" ht="15.75" customHeight="1">
      <c r="B62" s="2" t="s">
        <v>73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Q62" s="2" t="s">
        <v>74</v>
      </c>
      <c r="AF62" s="2" t="s">
        <v>75</v>
      </c>
      <c r="AU62" s="2" t="s">
        <v>76</v>
      </c>
    </row>
    <row r="63" ht="15.75" customHeight="1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ht="15.75" customHeight="1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AV64">
        <v>2.0</v>
      </c>
      <c r="AW64">
        <v>3.0</v>
      </c>
      <c r="AX64">
        <v>4.0</v>
      </c>
      <c r="AY64">
        <v>5.0</v>
      </c>
      <c r="AZ64">
        <v>6.0</v>
      </c>
      <c r="BA64">
        <v>7.0</v>
      </c>
      <c r="BB64">
        <v>8.0</v>
      </c>
      <c r="BC64">
        <v>9.0</v>
      </c>
      <c r="BD64">
        <v>10.0</v>
      </c>
      <c r="BE64">
        <v>11.0</v>
      </c>
      <c r="BF64">
        <v>12.0</v>
      </c>
      <c r="BG64">
        <v>13.0</v>
      </c>
    </row>
    <row r="65" ht="15.75" customHeight="1">
      <c r="B65" s="100" t="s">
        <v>61</v>
      </c>
      <c r="C65" s="101">
        <v>45292.0</v>
      </c>
      <c r="D65" s="101">
        <v>45323.0</v>
      </c>
      <c r="E65" s="101">
        <v>45352.0</v>
      </c>
      <c r="F65" s="101">
        <v>45383.0</v>
      </c>
      <c r="G65" s="101">
        <v>45413.0</v>
      </c>
      <c r="H65" s="101">
        <v>45444.0</v>
      </c>
      <c r="I65" s="101">
        <v>45474.0</v>
      </c>
      <c r="J65" s="101">
        <v>45505.0</v>
      </c>
      <c r="K65" s="101">
        <v>45536.0</v>
      </c>
      <c r="L65" s="101">
        <v>45566.0</v>
      </c>
      <c r="M65" s="101">
        <v>45597.0</v>
      </c>
      <c r="N65" s="101">
        <v>45627.0</v>
      </c>
      <c r="O65" s="102" t="s">
        <v>19</v>
      </c>
      <c r="Q65" s="100" t="s">
        <v>21</v>
      </c>
      <c r="R65" s="101">
        <v>45658.0</v>
      </c>
      <c r="S65" s="101">
        <v>45689.0</v>
      </c>
      <c r="T65" s="101">
        <v>45717.0</v>
      </c>
      <c r="U65" s="101">
        <v>45748.0</v>
      </c>
      <c r="V65" s="101">
        <v>45778.0</v>
      </c>
      <c r="W65" s="101">
        <v>45809.0</v>
      </c>
      <c r="X65" s="101">
        <v>45839.0</v>
      </c>
      <c r="Y65" s="101">
        <v>45870.0</v>
      </c>
      <c r="Z65" s="101">
        <v>45901.0</v>
      </c>
      <c r="AA65" s="101">
        <v>45931.0</v>
      </c>
      <c r="AB65" s="101">
        <v>45962.0</v>
      </c>
      <c r="AC65" s="101">
        <v>45992.0</v>
      </c>
      <c r="AD65" s="102" t="s">
        <v>19</v>
      </c>
      <c r="AF65" s="100" t="s">
        <v>53</v>
      </c>
      <c r="AG65" s="101">
        <v>46023.0</v>
      </c>
      <c r="AH65" s="101">
        <v>46054.0</v>
      </c>
      <c r="AI65" s="101">
        <v>46082.0</v>
      </c>
      <c r="AJ65" s="101">
        <v>46113.0</v>
      </c>
      <c r="AK65" s="101">
        <v>46143.0</v>
      </c>
      <c r="AL65" s="101">
        <v>46174.0</v>
      </c>
      <c r="AM65" s="101">
        <v>46204.0</v>
      </c>
      <c r="AN65" s="101">
        <v>46235.0</v>
      </c>
      <c r="AO65" s="101">
        <v>46266.0</v>
      </c>
      <c r="AP65" s="101">
        <v>46296.0</v>
      </c>
      <c r="AQ65" s="101">
        <v>46327.0</v>
      </c>
      <c r="AR65" s="101">
        <v>46357.0</v>
      </c>
      <c r="AS65" s="102" t="s">
        <v>19</v>
      </c>
      <c r="AU65" s="109" t="s">
        <v>62</v>
      </c>
      <c r="AV65" s="42">
        <v>46023.0</v>
      </c>
      <c r="AW65" s="42">
        <v>46054.0</v>
      </c>
      <c r="AX65" s="42">
        <v>46082.0</v>
      </c>
      <c r="AY65" s="42">
        <v>46113.0</v>
      </c>
      <c r="AZ65" s="43">
        <v>46143.0</v>
      </c>
      <c r="BA65" s="43">
        <v>46174.0</v>
      </c>
      <c r="BB65" s="43">
        <v>46204.0</v>
      </c>
      <c r="BC65" s="43">
        <v>46235.0</v>
      </c>
      <c r="BD65" s="43">
        <v>46266.0</v>
      </c>
      <c r="BE65" s="43">
        <v>46296.0</v>
      </c>
      <c r="BF65" s="43">
        <v>46327.0</v>
      </c>
      <c r="BG65" s="43">
        <v>46357.0</v>
      </c>
      <c r="BH65" s="44" t="s">
        <v>19</v>
      </c>
    </row>
    <row r="66" ht="15.75" customHeight="1">
      <c r="B66" s="50" t="s">
        <v>30</v>
      </c>
      <c r="C66" s="51">
        <v>21.90899951</v>
      </c>
      <c r="D66" s="51">
        <v>19.463536586021615</v>
      </c>
      <c r="E66" s="51">
        <v>21.95842189331686</v>
      </c>
      <c r="F66" s="51">
        <v>29.43987653702471</v>
      </c>
      <c r="G66" s="51">
        <v>28.38677758</v>
      </c>
      <c r="H66" s="51">
        <v>27.51884537993121</v>
      </c>
      <c r="I66" s="51">
        <v>33.84513773</v>
      </c>
      <c r="J66" s="51">
        <v>30.119618</v>
      </c>
      <c r="K66" s="51">
        <v>29.884239</v>
      </c>
      <c r="L66" s="51">
        <v>37.549446</v>
      </c>
      <c r="M66" s="51">
        <v>41.63282066000001</v>
      </c>
      <c r="N66" s="51">
        <v>41.649628019999994</v>
      </c>
      <c r="O66" s="51" t="str">
        <f t="shared" ref="O66:O67" si="173">+SUM(C66:N66)</f>
        <v>  363.4 </v>
      </c>
      <c r="Q66" s="50" t="s">
        <v>30</v>
      </c>
      <c r="R66" s="51">
        <v>28.527082</v>
      </c>
      <c r="S66" s="51">
        <v>31.32968254</v>
      </c>
      <c r="T66" s="51">
        <v>29.18025797</v>
      </c>
      <c r="U66" s="51">
        <v>36.851585820000004</v>
      </c>
      <c r="V66" s="51">
        <v>33.683232000000004</v>
      </c>
      <c r="W66" s="51">
        <v>34.246841</v>
      </c>
      <c r="X66" s="51">
        <v>45.765097000000004</v>
      </c>
      <c r="Y66" s="51">
        <v>36.999241</v>
      </c>
      <c r="Z66" s="51">
        <v>37.794968</v>
      </c>
      <c r="AA66" s="51">
        <v>17.388947894425304</v>
      </c>
      <c r="AB66" s="51">
        <v>7.109241285903797</v>
      </c>
      <c r="AC66" s="51">
        <v>6.077700092405973</v>
      </c>
      <c r="AD66" s="51" t="str">
        <f t="shared" ref="AD66:AD67" si="174">+SUM(R66:AC66)</f>
        <v>  345.0 </v>
      </c>
      <c r="AF66" s="50" t="s">
        <v>30</v>
      </c>
      <c r="AG66" s="51">
        <v>4.32546398567473</v>
      </c>
      <c r="AH66" s="51">
        <v>3.763179985674729</v>
      </c>
      <c r="AI66" s="51">
        <v>4.352587232093411</v>
      </c>
      <c r="AJ66" s="51">
        <v>4.02513876186081</v>
      </c>
      <c r="AK66" s="51">
        <v>4.02513876186081</v>
      </c>
      <c r="AL66" s="51">
        <v>4.680035702326013</v>
      </c>
      <c r="AM66" s="51">
        <v>4.287097538046892</v>
      </c>
      <c r="AN66" s="51">
        <v>4.287097538046892</v>
      </c>
      <c r="AO66" s="51">
        <v>5.00748417255861</v>
      </c>
      <c r="AP66" s="51">
        <v>4.49666455899576</v>
      </c>
      <c r="AQ66" s="51">
        <v>4.49666455899576</v>
      </c>
      <c r="AR66" s="51">
        <v>4.707158948744677</v>
      </c>
      <c r="AS66" s="51" t="str">
        <f t="shared" ref="AS66:AS71" si="175">+SUM(AG66:AR66)</f>
        <v>  52.5 </v>
      </c>
      <c r="AU66" s="50" t="s">
        <v>30</v>
      </c>
      <c r="AV66" s="51" t="str">
        <f>VLOOKUP($AU66,#REF!,'Mkt United + Troader 26'!AV$64,0)</f>
        <v>#REF!</v>
      </c>
      <c r="AW66" s="51" t="str">
        <f>VLOOKUP($AU66,#REF!,'Mkt United + Troader 26'!AW$64,0)</f>
        <v>#REF!</v>
      </c>
      <c r="AX66" s="51" t="str">
        <f>VLOOKUP($AU66,#REF!,'Mkt United + Troader 26'!AX$64,0)</f>
        <v>#REF!</v>
      </c>
      <c r="AY66" s="51" t="str">
        <f>VLOOKUP($AU66,#REF!,'Mkt United + Troader 26'!AY$64,0)</f>
        <v>#REF!</v>
      </c>
      <c r="AZ66" s="51">
        <v>3.82513876186081</v>
      </c>
      <c r="BA66" s="51">
        <v>4.4800357023260124</v>
      </c>
      <c r="BB66" s="51">
        <v>4.0870975380468915</v>
      </c>
      <c r="BC66" s="51">
        <v>4.0870975380468915</v>
      </c>
      <c r="BD66" s="51">
        <v>4.2</v>
      </c>
      <c r="BE66" s="51">
        <v>4.29666455899576</v>
      </c>
      <c r="BF66" s="51">
        <v>4.29666455899576</v>
      </c>
      <c r="BG66" s="51">
        <v>4.507158948744677</v>
      </c>
      <c r="BH66" s="51" t="str">
        <f t="shared" ref="BH66:BH71" si="176">+SUM(AV66:BG66)</f>
        <v>#REF!</v>
      </c>
    </row>
    <row r="67" ht="15.75" customHeight="1">
      <c r="B67" s="50" t="s">
        <v>31</v>
      </c>
      <c r="C67" s="51">
        <v>0.0</v>
      </c>
      <c r="D67" s="51">
        <v>0.0</v>
      </c>
      <c r="E67" s="51">
        <v>0.0</v>
      </c>
      <c r="F67" s="51">
        <v>0.0</v>
      </c>
      <c r="G67" s="51">
        <v>0.0</v>
      </c>
      <c r="H67" s="51">
        <v>0.0</v>
      </c>
      <c r="I67" s="51">
        <v>0.0</v>
      </c>
      <c r="J67" s="51">
        <v>0.0</v>
      </c>
      <c r="K67" s="51">
        <v>0.0</v>
      </c>
      <c r="L67" s="51">
        <v>0.0</v>
      </c>
      <c r="M67" s="51">
        <v>0.0</v>
      </c>
      <c r="N67" s="51">
        <v>0.0</v>
      </c>
      <c r="O67" s="51" t="str">
        <f t="shared" si="173"/>
        <v>  -   </v>
      </c>
      <c r="Q67" s="50" t="s">
        <v>31</v>
      </c>
      <c r="R67" s="51">
        <v>0.0</v>
      </c>
      <c r="S67" s="51">
        <v>0.0</v>
      </c>
      <c r="T67" s="51">
        <v>0.0</v>
      </c>
      <c r="U67" s="51">
        <v>0.0</v>
      </c>
      <c r="V67" s="51">
        <v>0.0</v>
      </c>
      <c r="W67" s="51">
        <v>0.0</v>
      </c>
      <c r="X67" s="51">
        <v>0.0</v>
      </c>
      <c r="Y67" s="51">
        <v>0.0</v>
      </c>
      <c r="Z67" s="51">
        <v>0.0</v>
      </c>
      <c r="AA67" s="51">
        <v>0.0</v>
      </c>
      <c r="AB67" s="51">
        <v>0.0</v>
      </c>
      <c r="AC67" s="51">
        <v>0.0</v>
      </c>
      <c r="AD67" s="51" t="str">
        <f t="shared" si="174"/>
        <v>  -   </v>
      </c>
      <c r="AF67" s="50" t="s">
        <v>31</v>
      </c>
      <c r="AG67" s="51">
        <v>0.0</v>
      </c>
      <c r="AH67" s="51">
        <v>0.0</v>
      </c>
      <c r="AI67" s="51">
        <v>0.0</v>
      </c>
      <c r="AJ67" s="51">
        <v>0.0</v>
      </c>
      <c r="AK67" s="51">
        <v>0.0</v>
      </c>
      <c r="AL67" s="51">
        <v>0.9</v>
      </c>
      <c r="AM67" s="51">
        <v>0.9</v>
      </c>
      <c r="AN67" s="51">
        <v>0.9</v>
      </c>
      <c r="AO67" s="51">
        <v>0.9</v>
      </c>
      <c r="AP67" s="51">
        <v>0.9</v>
      </c>
      <c r="AQ67" s="51">
        <v>1.2</v>
      </c>
      <c r="AR67" s="51">
        <v>1.0</v>
      </c>
      <c r="AS67" s="51" t="str">
        <f t="shared" si="175"/>
        <v>  6.7 </v>
      </c>
      <c r="AU67" s="50" t="s">
        <v>31</v>
      </c>
      <c r="AV67" s="51" t="str">
        <f>VLOOKUP($AU67,#REF!,'Mkt United + Troader 26'!AV$64,0)</f>
        <v>#REF!</v>
      </c>
      <c r="AW67" s="51" t="str">
        <f>VLOOKUP($AU67,#REF!,'Mkt United + Troader 26'!AW$64,0)</f>
        <v>#REF!</v>
      </c>
      <c r="AX67" s="51" t="str">
        <f>VLOOKUP($AU67,#REF!,'Mkt United + Troader 26'!AX$64,0)</f>
        <v>#REF!</v>
      </c>
      <c r="AY67" s="51" t="str">
        <f>VLOOKUP($AU67,#REF!,'Mkt United + Troader 26'!AY$64,0)</f>
        <v>#REF!</v>
      </c>
      <c r="AZ67" s="51">
        <v>0.0</v>
      </c>
      <c r="BA67" s="51">
        <v>0.0</v>
      </c>
      <c r="BB67" s="51">
        <v>0.0</v>
      </c>
      <c r="BC67" s="51">
        <v>0.0</v>
      </c>
      <c r="BD67" s="51">
        <v>0.0</v>
      </c>
      <c r="BE67" s="51">
        <v>0.9</v>
      </c>
      <c r="BF67" s="51">
        <v>1.2</v>
      </c>
      <c r="BG67" s="51">
        <v>1.0</v>
      </c>
      <c r="BH67" s="51" t="str">
        <f t="shared" si="176"/>
        <v>#REF!</v>
      </c>
    </row>
    <row r="68" ht="15.75" customHeight="1">
      <c r="B68" s="59" t="s">
        <v>32</v>
      </c>
      <c r="C68" s="60" t="str">
        <f t="shared" ref="C68:O68" si="177">C66+C67</f>
        <v>  21.9 </v>
      </c>
      <c r="D68" s="60" t="str">
        <f t="shared" si="177"/>
        <v>  19.5 </v>
      </c>
      <c r="E68" s="60" t="str">
        <f t="shared" si="177"/>
        <v>  22.0 </v>
      </c>
      <c r="F68" s="60" t="str">
        <f t="shared" si="177"/>
        <v>  29.4 </v>
      </c>
      <c r="G68" s="60" t="str">
        <f t="shared" si="177"/>
        <v>  28.4 </v>
      </c>
      <c r="H68" s="60" t="str">
        <f t="shared" si="177"/>
        <v>  27.5 </v>
      </c>
      <c r="I68" s="60" t="str">
        <f t="shared" si="177"/>
        <v>  33.8 </v>
      </c>
      <c r="J68" s="60" t="str">
        <f t="shared" si="177"/>
        <v>  30.1 </v>
      </c>
      <c r="K68" s="60" t="str">
        <f t="shared" si="177"/>
        <v>  29.9 </v>
      </c>
      <c r="L68" s="60" t="str">
        <f t="shared" si="177"/>
        <v>  37.5 </v>
      </c>
      <c r="M68" s="60" t="str">
        <f t="shared" si="177"/>
        <v>  41.6 </v>
      </c>
      <c r="N68" s="60" t="str">
        <f t="shared" si="177"/>
        <v>  41.6 </v>
      </c>
      <c r="O68" s="60" t="str">
        <f t="shared" si="177"/>
        <v>  363.4 </v>
      </c>
      <c r="Q68" s="59" t="s">
        <v>32</v>
      </c>
      <c r="R68" s="60" t="str">
        <f t="shared" ref="R68:AD68" si="178">R66+R67</f>
        <v>  28.5 </v>
      </c>
      <c r="S68" s="60" t="str">
        <f t="shared" si="178"/>
        <v>  31.3 </v>
      </c>
      <c r="T68" s="60" t="str">
        <f t="shared" si="178"/>
        <v>  29.2 </v>
      </c>
      <c r="U68" s="60" t="str">
        <f t="shared" si="178"/>
        <v>  36.9 </v>
      </c>
      <c r="V68" s="60" t="str">
        <f t="shared" si="178"/>
        <v>  33.7 </v>
      </c>
      <c r="W68" s="60" t="str">
        <f t="shared" si="178"/>
        <v>  34.2 </v>
      </c>
      <c r="X68" s="60" t="str">
        <f t="shared" si="178"/>
        <v>  45.8 </v>
      </c>
      <c r="Y68" s="60" t="str">
        <f t="shared" si="178"/>
        <v>  37.0 </v>
      </c>
      <c r="Z68" s="60" t="str">
        <f t="shared" si="178"/>
        <v>  37.8 </v>
      </c>
      <c r="AA68" s="60" t="str">
        <f t="shared" si="178"/>
        <v>  17.4 </v>
      </c>
      <c r="AB68" s="60" t="str">
        <f t="shared" si="178"/>
        <v>  7.1 </v>
      </c>
      <c r="AC68" s="60" t="str">
        <f t="shared" si="178"/>
        <v>  6.1 </v>
      </c>
      <c r="AD68" s="60" t="str">
        <f t="shared" si="178"/>
        <v>  345.0 </v>
      </c>
      <c r="AF68" s="59" t="s">
        <v>32</v>
      </c>
      <c r="AG68" s="60" t="str">
        <f t="shared" ref="AG68:AH68" si="179">AG66+AG67</f>
        <v>  4.3 </v>
      </c>
      <c r="AH68" s="60" t="str">
        <f t="shared" si="179"/>
        <v>  3.8 </v>
      </c>
      <c r="AI68" s="60" t="str">
        <f t="shared" ref="AI68:AR68" si="180">AI67+AI66</f>
        <v>  4.4 </v>
      </c>
      <c r="AJ68" s="60" t="str">
        <f t="shared" si="180"/>
        <v>  4.0 </v>
      </c>
      <c r="AK68" s="60" t="str">
        <f t="shared" si="180"/>
        <v>  4.0 </v>
      </c>
      <c r="AL68" s="60" t="str">
        <f t="shared" si="180"/>
        <v>  5.6 </v>
      </c>
      <c r="AM68" s="60" t="str">
        <f t="shared" si="180"/>
        <v>  5.2 </v>
      </c>
      <c r="AN68" s="60" t="str">
        <f t="shared" si="180"/>
        <v>  5.2 </v>
      </c>
      <c r="AO68" s="60" t="str">
        <f t="shared" si="180"/>
        <v>  5.9 </v>
      </c>
      <c r="AP68" s="60" t="str">
        <f t="shared" si="180"/>
        <v>  5.4 </v>
      </c>
      <c r="AQ68" s="60" t="str">
        <f t="shared" si="180"/>
        <v>  5.7 </v>
      </c>
      <c r="AR68" s="60" t="str">
        <f t="shared" si="180"/>
        <v>  5.7 </v>
      </c>
      <c r="AS68" s="60" t="str">
        <f t="shared" si="175"/>
        <v>  59.2 </v>
      </c>
      <c r="AU68" s="59" t="s">
        <v>32</v>
      </c>
      <c r="AV68" s="60" t="str">
        <f t="shared" ref="AV68:AW68" si="181">AV66+AV67</f>
        <v>#REF!</v>
      </c>
      <c r="AW68" s="60" t="str">
        <f t="shared" si="181"/>
        <v>#REF!</v>
      </c>
      <c r="AX68" s="60" t="str">
        <f t="shared" ref="AX68:BG68" si="182">AX67+AX66</f>
        <v>#REF!</v>
      </c>
      <c r="AY68" s="60" t="str">
        <f t="shared" si="182"/>
        <v>#REF!</v>
      </c>
      <c r="AZ68" s="60" t="str">
        <f t="shared" si="182"/>
        <v>  3.8 </v>
      </c>
      <c r="BA68" s="60" t="str">
        <f t="shared" si="182"/>
        <v>  4.5 </v>
      </c>
      <c r="BB68" s="60" t="str">
        <f t="shared" si="182"/>
        <v>  4.1 </v>
      </c>
      <c r="BC68" s="60" t="str">
        <f t="shared" si="182"/>
        <v>  4.1 </v>
      </c>
      <c r="BD68" s="60" t="str">
        <f t="shared" si="182"/>
        <v>  4.2 </v>
      </c>
      <c r="BE68" s="60" t="str">
        <f t="shared" si="182"/>
        <v>  5.2 </v>
      </c>
      <c r="BF68" s="60" t="str">
        <f t="shared" si="182"/>
        <v>  5.5 </v>
      </c>
      <c r="BG68" s="60" t="str">
        <f t="shared" si="182"/>
        <v>  5.5 </v>
      </c>
      <c r="BH68" s="60" t="str">
        <f t="shared" si="176"/>
        <v>#REF!</v>
      </c>
    </row>
    <row r="69" ht="15.75" customHeight="1">
      <c r="B69" s="68" t="s">
        <v>63</v>
      </c>
      <c r="C69" s="51">
        <v>-18.05839374323049</v>
      </c>
      <c r="D69" s="51">
        <v>-15.039217239555718</v>
      </c>
      <c r="E69" s="51">
        <v>-16.876342796146552</v>
      </c>
      <c r="F69" s="51">
        <v>-22.922205727180703</v>
      </c>
      <c r="G69" s="51">
        <v>-22.460521652573693</v>
      </c>
      <c r="H69" s="51">
        <v>-21.981520484824223</v>
      </c>
      <c r="I69" s="51">
        <v>-27.070126330830846</v>
      </c>
      <c r="J69" s="51">
        <v>-24.13418813240611</v>
      </c>
      <c r="K69" s="51">
        <v>-22.607414521538193</v>
      </c>
      <c r="L69" s="51">
        <v>-29.05165662084494</v>
      </c>
      <c r="M69" s="51">
        <v>-33.85785516793743</v>
      </c>
      <c r="N69" s="51">
        <v>-32.21915954770263</v>
      </c>
      <c r="O69" s="51" t="str">
        <f t="shared" ref="O69:O71" si="183">+SUM(C69:N69)</f>
        <v>  (286.3)</v>
      </c>
      <c r="Q69" s="68" t="s">
        <v>63</v>
      </c>
      <c r="R69" s="51">
        <v>-23.40836621</v>
      </c>
      <c r="S69" s="51">
        <v>-21.424154102000003</v>
      </c>
      <c r="T69" s="51">
        <v>-22.273865339999997</v>
      </c>
      <c r="U69" s="51">
        <v>-26.807142764764954</v>
      </c>
      <c r="V69" s="51">
        <v>-26.59316523152273</v>
      </c>
      <c r="W69" s="51">
        <v>-26.071189731325035</v>
      </c>
      <c r="X69" s="51">
        <v>-34.33258828094125</v>
      </c>
      <c r="Y69" s="51">
        <v>-28.256820706150002</v>
      </c>
      <c r="Z69" s="51">
        <v>-29.891004139987245</v>
      </c>
      <c r="AA69" s="51">
        <v>-10.654566057857032</v>
      </c>
      <c r="AB69" s="51">
        <v>-1.213642225172</v>
      </c>
      <c r="AC69" s="51">
        <v>-0.93626279</v>
      </c>
      <c r="AD69" s="51" t="str">
        <f t="shared" ref="AD69:AD71" si="184">+SUM(R69:AC69)</f>
        <v>  (251.9)</v>
      </c>
      <c r="AF69" s="68" t="s">
        <v>63</v>
      </c>
      <c r="AG69" s="51">
        <v>-0.7505740522802855</v>
      </c>
      <c r="AH69" s="51">
        <v>-1.34959454615139</v>
      </c>
      <c r="AI69" s="51">
        <v>-1.2830558490085309</v>
      </c>
      <c r="AJ69" s="51">
        <v>-1.4004773318931132</v>
      </c>
      <c r="AK69" s="51">
        <v>-1.4004773318931132</v>
      </c>
      <c r="AL69" s="51">
        <v>-1.4004773318931132</v>
      </c>
      <c r="AM69" s="51">
        <v>-1.4004773318931132</v>
      </c>
      <c r="AN69" s="51">
        <v>-1.4004773318931132</v>
      </c>
      <c r="AO69" s="51">
        <v>-1.66327794290497</v>
      </c>
      <c r="AP69" s="51">
        <v>-1.4004766273649196</v>
      </c>
      <c r="AQ69" s="51">
        <v>-1.56327794290497</v>
      </c>
      <c r="AR69" s="51">
        <v>-1.5632779429049721</v>
      </c>
      <c r="AS69" s="51" t="str">
        <f t="shared" si="175"/>
        <v>  (16.6)</v>
      </c>
      <c r="AU69" s="68" t="s">
        <v>63</v>
      </c>
      <c r="AV69" s="51" t="str">
        <f>VLOOKUP($AU69,#REF!,'Mkt United + Troader 26'!AV$64,0)</f>
        <v>#REF!</v>
      </c>
      <c r="AW69" s="51" t="str">
        <f>VLOOKUP($AU69,#REF!,'Mkt United + Troader 26'!AW$64,0)</f>
        <v>#REF!</v>
      </c>
      <c r="AX69" s="51" t="str">
        <f>VLOOKUP($AU69,#REF!,'Mkt United + Troader 26'!AX$64,0)</f>
        <v>#REF!</v>
      </c>
      <c r="AY69" s="51" t="str">
        <f>VLOOKUP($AU69,#REF!,'Mkt United + Troader 26'!AY$64,0)</f>
        <v>#REF!</v>
      </c>
      <c r="AZ69" s="51">
        <v>-1.0</v>
      </c>
      <c r="BA69" s="51">
        <v>-1.0</v>
      </c>
      <c r="BB69" s="51">
        <v>-1.0</v>
      </c>
      <c r="BC69" s="51">
        <v>-1.0</v>
      </c>
      <c r="BD69" s="51">
        <v>-1.0</v>
      </c>
      <c r="BE69" s="51">
        <v>-1.0</v>
      </c>
      <c r="BF69" s="51">
        <v>-1.0</v>
      </c>
      <c r="BG69" s="51">
        <v>-1.0</v>
      </c>
      <c r="BH69" s="51" t="str">
        <f t="shared" si="176"/>
        <v>#REF!</v>
      </c>
    </row>
    <row r="70" ht="15.75" customHeight="1">
      <c r="B70" s="68" t="s">
        <v>64</v>
      </c>
      <c r="C70" s="51">
        <v>0.0</v>
      </c>
      <c r="D70" s="51">
        <v>0.0</v>
      </c>
      <c r="E70" s="51">
        <v>0.0</v>
      </c>
      <c r="F70" s="51">
        <v>0.0</v>
      </c>
      <c r="G70" s="51">
        <v>0.0</v>
      </c>
      <c r="H70" s="51">
        <v>0.0</v>
      </c>
      <c r="I70" s="51">
        <v>0.0</v>
      </c>
      <c r="J70" s="51">
        <v>0.0</v>
      </c>
      <c r="K70" s="51">
        <v>0.0</v>
      </c>
      <c r="L70" s="51">
        <v>0.0</v>
      </c>
      <c r="M70" s="51">
        <v>0.0</v>
      </c>
      <c r="N70" s="51">
        <v>0.0</v>
      </c>
      <c r="O70" s="51" t="str">
        <f t="shared" si="183"/>
        <v>  -   </v>
      </c>
      <c r="Q70" s="68" t="s">
        <v>64</v>
      </c>
      <c r="R70" s="51">
        <v>-0.174778695</v>
      </c>
      <c r="S70" s="51">
        <v>-0.1689933395</v>
      </c>
      <c r="T70" s="51">
        <v>-0.16676775</v>
      </c>
      <c r="U70" s="51">
        <v>-0.17117037</v>
      </c>
      <c r="V70" s="51">
        <v>-0.16558897479999998</v>
      </c>
      <c r="W70" s="51">
        <v>-0.161587</v>
      </c>
      <c r="X70" s="51">
        <v>-0.14539197</v>
      </c>
      <c r="Y70" s="51">
        <v>-0.15161362</v>
      </c>
      <c r="Z70" s="51">
        <v>-0.1492467658</v>
      </c>
      <c r="AA70" s="51">
        <v>-0.045246287499999996</v>
      </c>
      <c r="AB70" s="51">
        <v>-0.0431912525</v>
      </c>
      <c r="AC70" s="51">
        <v>0.0</v>
      </c>
      <c r="AD70" s="51" t="str">
        <f t="shared" si="184"/>
        <v>  (1.5)</v>
      </c>
      <c r="AF70" s="68" t="s">
        <v>64</v>
      </c>
      <c r="AG70" s="51">
        <v>-0.098</v>
      </c>
      <c r="AH70" s="51">
        <v>-0.098</v>
      </c>
      <c r="AI70" s="51">
        <v>-0.098</v>
      </c>
      <c r="AJ70" s="51">
        <v>-0.098</v>
      </c>
      <c r="AK70" s="51">
        <v>-0.098</v>
      </c>
      <c r="AL70" s="51">
        <v>-0.098</v>
      </c>
      <c r="AM70" s="51">
        <v>-0.098</v>
      </c>
      <c r="AN70" s="51">
        <v>-0.098</v>
      </c>
      <c r="AO70" s="51">
        <v>-0.098</v>
      </c>
      <c r="AP70" s="51">
        <v>-0.098</v>
      </c>
      <c r="AQ70" s="51">
        <v>-0.098</v>
      </c>
      <c r="AR70" s="51">
        <v>-0.098</v>
      </c>
      <c r="AS70" s="51" t="str">
        <f t="shared" si="175"/>
        <v>  (1.2)</v>
      </c>
      <c r="AU70" s="68" t="s">
        <v>64</v>
      </c>
      <c r="AV70" s="51" t="str">
        <f>VLOOKUP($AU70,#REF!,'Mkt United + Troader 26'!AV$64,0)</f>
        <v>#REF!</v>
      </c>
      <c r="AW70" s="51" t="str">
        <f>VLOOKUP($AU70,#REF!,'Mkt United + Troader 26'!AW$64,0)</f>
        <v>#REF!</v>
      </c>
      <c r="AX70" s="51" t="str">
        <f>VLOOKUP($AU70,#REF!,'Mkt United + Troader 26'!AX$64,0)</f>
        <v>#REF!</v>
      </c>
      <c r="AY70" s="51" t="str">
        <f>VLOOKUP($AU70,#REF!,'Mkt United + Troader 26'!AY$64,0)</f>
        <v>#REF!</v>
      </c>
      <c r="AZ70" s="51">
        <v>-0.098</v>
      </c>
      <c r="BA70" s="51">
        <v>-0.098</v>
      </c>
      <c r="BB70" s="51">
        <v>-0.098</v>
      </c>
      <c r="BC70" s="51">
        <v>-0.098</v>
      </c>
      <c r="BD70" s="51">
        <v>-0.098</v>
      </c>
      <c r="BE70" s="51">
        <v>-0.098</v>
      </c>
      <c r="BF70" s="51">
        <v>-0.098</v>
      </c>
      <c r="BG70" s="51">
        <v>-0.098</v>
      </c>
      <c r="BH70" s="51" t="str">
        <f t="shared" si="176"/>
        <v>#REF!</v>
      </c>
    </row>
    <row r="71" ht="15.75" customHeight="1">
      <c r="B71" s="68" t="s">
        <v>65</v>
      </c>
      <c r="C71" s="51">
        <v>-0.3217499716403692</v>
      </c>
      <c r="D71" s="51">
        <v>-0.31692537770707646</v>
      </c>
      <c r="E71" s="51">
        <v>-0.3204768578162034</v>
      </c>
      <c r="F71" s="51">
        <v>-0.3152354805860806</v>
      </c>
      <c r="G71" s="51">
        <v>-0.35081466427161956</v>
      </c>
      <c r="H71" s="51">
        <v>-0.3309113790454974</v>
      </c>
      <c r="I71" s="51">
        <v>-0.3145945467980815</v>
      </c>
      <c r="J71" s="51">
        <v>-0.3055054604080357</v>
      </c>
      <c r="K71" s="51">
        <v>-0.28464315080357144</v>
      </c>
      <c r="L71" s="51">
        <v>-0.2847975110178097</v>
      </c>
      <c r="M71" s="51">
        <v>-0.28263345721933475</v>
      </c>
      <c r="N71" s="51">
        <v>-0.28263345721933475</v>
      </c>
      <c r="O71" s="51" t="str">
        <f t="shared" si="183"/>
        <v>  (3.7)</v>
      </c>
      <c r="Q71" s="68" t="s">
        <v>65</v>
      </c>
      <c r="R71" s="51">
        <v>-0.3262405624259542</v>
      </c>
      <c r="S71" s="51">
        <v>-0.25700129239114144</v>
      </c>
      <c r="T71" s="51">
        <v>-0.26622400768451143</v>
      </c>
      <c r="U71" s="51">
        <v>-0.41797985</v>
      </c>
      <c r="V71" s="51">
        <v>-0.6106294099999999</v>
      </c>
      <c r="W71" s="51">
        <v>-0.59239447</v>
      </c>
      <c r="X71" s="51">
        <v>-0.592394471</v>
      </c>
      <c r="Y71" s="51">
        <v>-0.62989447</v>
      </c>
      <c r="Z71" s="51">
        <v>-0.58234308</v>
      </c>
      <c r="AA71" s="51">
        <v>-0.6829934799999999</v>
      </c>
      <c r="AB71" s="51">
        <v>-0.59270931</v>
      </c>
      <c r="AC71" s="51">
        <v>-0.5927093</v>
      </c>
      <c r="AD71" s="51" t="str">
        <f t="shared" si="184"/>
        <v>  (6.1)</v>
      </c>
      <c r="AF71" s="68" t="s">
        <v>65</v>
      </c>
      <c r="AG71" s="51">
        <v>-0.9212332471794871</v>
      </c>
      <c r="AH71" s="51">
        <v>-0.18959371384615387</v>
      </c>
      <c r="AI71" s="51">
        <v>-0.18612818333333342</v>
      </c>
      <c r="AJ71" s="51">
        <v>-0.21132818333333342</v>
      </c>
      <c r="AK71" s="51">
        <v>-0.18612818333333342</v>
      </c>
      <c r="AL71" s="51">
        <v>-0.18612818333333342</v>
      </c>
      <c r="AM71" s="51">
        <v>-0.18612818333333342</v>
      </c>
      <c r="AN71" s="51">
        <v>-0.06014971666666667</v>
      </c>
      <c r="AO71" s="51">
        <v>-0.06014971666666667</v>
      </c>
      <c r="AP71" s="51">
        <v>-0.06198721666666667</v>
      </c>
      <c r="AQ71" s="51">
        <v>-0.06014971666666667</v>
      </c>
      <c r="AR71" s="51">
        <v>-0.06014971666666667</v>
      </c>
      <c r="AS71" s="51" t="str">
        <f t="shared" si="175"/>
        <v>  (2.4)</v>
      </c>
      <c r="AU71" s="68" t="s">
        <v>65</v>
      </c>
      <c r="AV71" s="51" t="str">
        <f>VLOOKUP($AU71,#REF!,'Mkt United + Troader 26'!AV$64,0)</f>
        <v>#REF!</v>
      </c>
      <c r="AW71" s="51" t="str">
        <f>VLOOKUP($AU71,#REF!,'Mkt United + Troader 26'!AW$64,0)</f>
        <v>#REF!</v>
      </c>
      <c r="AX71" s="51" t="str">
        <f>VLOOKUP($AU71,#REF!,'Mkt United + Troader 26'!AX$64,0)</f>
        <v>#REF!</v>
      </c>
      <c r="AY71" s="51" t="str">
        <f>VLOOKUP($AU71,#REF!,'Mkt United + Troader 26'!AY$64,0)</f>
        <v>#REF!</v>
      </c>
      <c r="AZ71" s="51">
        <v>0.0</v>
      </c>
      <c r="BA71" s="51">
        <v>0.0</v>
      </c>
      <c r="BB71" s="51">
        <v>0.0</v>
      </c>
      <c r="BC71" s="51">
        <v>0.0</v>
      </c>
      <c r="BD71" s="51">
        <v>0.0</v>
      </c>
      <c r="BE71" s="51">
        <v>0.0</v>
      </c>
      <c r="BF71" s="51">
        <v>0.0</v>
      </c>
      <c r="BG71" s="51">
        <v>0.0</v>
      </c>
      <c r="BH71" s="51" t="str">
        <f t="shared" si="176"/>
        <v>#REF!</v>
      </c>
    </row>
    <row r="72" ht="15.75" customHeight="1">
      <c r="B72" s="65" t="s">
        <v>37</v>
      </c>
      <c r="C72" s="71" t="str">
        <f t="shared" ref="C72:O72" si="185">SUM(C69:C71)</f>
        <v>  (18.4)</v>
      </c>
      <c r="D72" s="71" t="str">
        <f t="shared" si="185"/>
        <v>  (15.4)</v>
      </c>
      <c r="E72" s="71" t="str">
        <f t="shared" si="185"/>
        <v>  (17.2)</v>
      </c>
      <c r="F72" s="71" t="str">
        <f t="shared" si="185"/>
        <v>  (23.2)</v>
      </c>
      <c r="G72" s="71" t="str">
        <f t="shared" si="185"/>
        <v>  (22.8)</v>
      </c>
      <c r="H72" s="71" t="str">
        <f t="shared" si="185"/>
        <v>  (22.3)</v>
      </c>
      <c r="I72" s="71" t="str">
        <f t="shared" si="185"/>
        <v>  (27.4)</v>
      </c>
      <c r="J72" s="71" t="str">
        <f t="shared" si="185"/>
        <v>  (24.4)</v>
      </c>
      <c r="K72" s="71" t="str">
        <f t="shared" si="185"/>
        <v>  (22.9)</v>
      </c>
      <c r="L72" s="71" t="str">
        <f t="shared" si="185"/>
        <v>  (29.3)</v>
      </c>
      <c r="M72" s="71" t="str">
        <f t="shared" si="185"/>
        <v>  (34.1)</v>
      </c>
      <c r="N72" s="71" t="str">
        <f t="shared" si="185"/>
        <v>  (32.5)</v>
      </c>
      <c r="O72" s="71" t="str">
        <f t="shared" si="185"/>
        <v>  (290.0)</v>
      </c>
      <c r="Q72" s="65" t="s">
        <v>37</v>
      </c>
      <c r="R72" s="71" t="str">
        <f t="shared" ref="R72:AD72" si="186">SUM(R69:R71)</f>
        <v>  (23.9)</v>
      </c>
      <c r="S72" s="71" t="str">
        <f t="shared" si="186"/>
        <v>  (21.9)</v>
      </c>
      <c r="T72" s="71" t="str">
        <f t="shared" si="186"/>
        <v>  (22.7)</v>
      </c>
      <c r="U72" s="71" t="str">
        <f t="shared" si="186"/>
        <v>  (27.4)</v>
      </c>
      <c r="V72" s="71" t="str">
        <f t="shared" si="186"/>
        <v>  (27.4)</v>
      </c>
      <c r="W72" s="71" t="str">
        <f t="shared" si="186"/>
        <v>  (26.8)</v>
      </c>
      <c r="X72" s="71" t="str">
        <f t="shared" si="186"/>
        <v>  (35.1)</v>
      </c>
      <c r="Y72" s="71" t="str">
        <f t="shared" si="186"/>
        <v>  (29.0)</v>
      </c>
      <c r="Z72" s="71" t="str">
        <f t="shared" si="186"/>
        <v>  (30.6)</v>
      </c>
      <c r="AA72" s="71" t="str">
        <f t="shared" si="186"/>
        <v>  (11.4)</v>
      </c>
      <c r="AB72" s="71" t="str">
        <f t="shared" si="186"/>
        <v>  (1.8)</v>
      </c>
      <c r="AC72" s="71" t="str">
        <f t="shared" si="186"/>
        <v>  (1.5)</v>
      </c>
      <c r="AD72" s="71" t="str">
        <f t="shared" si="186"/>
        <v>  (259.5)</v>
      </c>
      <c r="AF72" s="65" t="s">
        <v>37</v>
      </c>
      <c r="AG72" s="71" t="str">
        <f t="shared" ref="AG72:AS72" si="187">SUM(AG69:AG71)</f>
        <v>  (1.8)</v>
      </c>
      <c r="AH72" s="71" t="str">
        <f t="shared" si="187"/>
        <v>  (1.6)</v>
      </c>
      <c r="AI72" s="71" t="str">
        <f t="shared" si="187"/>
        <v>  (1.6)</v>
      </c>
      <c r="AJ72" s="71" t="str">
        <f t="shared" si="187"/>
        <v>  (1.7)</v>
      </c>
      <c r="AK72" s="71" t="str">
        <f t="shared" si="187"/>
        <v>  (1.7)</v>
      </c>
      <c r="AL72" s="71" t="str">
        <f t="shared" si="187"/>
        <v>  (1.7)</v>
      </c>
      <c r="AM72" s="71" t="str">
        <f t="shared" si="187"/>
        <v>  (1.7)</v>
      </c>
      <c r="AN72" s="71" t="str">
        <f t="shared" si="187"/>
        <v>  (1.6)</v>
      </c>
      <c r="AO72" s="71" t="str">
        <f t="shared" si="187"/>
        <v>  (1.8)</v>
      </c>
      <c r="AP72" s="71" t="str">
        <f t="shared" si="187"/>
        <v>  (1.6)</v>
      </c>
      <c r="AQ72" s="71" t="str">
        <f t="shared" si="187"/>
        <v>  (1.7)</v>
      </c>
      <c r="AR72" s="71" t="str">
        <f t="shared" si="187"/>
        <v>  (1.7)</v>
      </c>
      <c r="AS72" s="71" t="str">
        <f t="shared" si="187"/>
        <v>  (20.1)</v>
      </c>
      <c r="AU72" s="65" t="s">
        <v>37</v>
      </c>
      <c r="AV72" s="71" t="str">
        <f t="shared" ref="AV72:BH72" si="188">SUM(AV69:AV71)</f>
        <v>#REF!</v>
      </c>
      <c r="AW72" s="71" t="str">
        <f t="shared" si="188"/>
        <v>#REF!</v>
      </c>
      <c r="AX72" s="71" t="str">
        <f t="shared" si="188"/>
        <v>#REF!</v>
      </c>
      <c r="AY72" s="71" t="str">
        <f t="shared" si="188"/>
        <v>#REF!</v>
      </c>
      <c r="AZ72" s="71" t="str">
        <f t="shared" si="188"/>
        <v>  (1.1)</v>
      </c>
      <c r="BA72" s="71" t="str">
        <f t="shared" si="188"/>
        <v>  (1.1)</v>
      </c>
      <c r="BB72" s="71" t="str">
        <f t="shared" si="188"/>
        <v>  (1.1)</v>
      </c>
      <c r="BC72" s="71" t="str">
        <f t="shared" si="188"/>
        <v>  (1.1)</v>
      </c>
      <c r="BD72" s="71" t="str">
        <f t="shared" si="188"/>
        <v>  (1.1)</v>
      </c>
      <c r="BE72" s="71" t="str">
        <f t="shared" si="188"/>
        <v>  (1.1)</v>
      </c>
      <c r="BF72" s="71" t="str">
        <f t="shared" si="188"/>
        <v>  (1.1)</v>
      </c>
      <c r="BG72" s="71" t="str">
        <f t="shared" si="188"/>
        <v>  (1.1)</v>
      </c>
      <c r="BH72" s="71" t="str">
        <f t="shared" si="188"/>
        <v>#REF!</v>
      </c>
    </row>
    <row r="73" ht="15.75" customHeight="1">
      <c r="B73" s="59" t="s">
        <v>38</v>
      </c>
      <c r="C73" s="60" t="str">
        <f t="shared" ref="C73:O73" si="189">C68+C72</f>
        <v>  3.5 </v>
      </c>
      <c r="D73" s="60" t="str">
        <f t="shared" si="189"/>
        <v>  4.1 </v>
      </c>
      <c r="E73" s="60" t="str">
        <f t="shared" si="189"/>
        <v>  4.8 </v>
      </c>
      <c r="F73" s="60" t="str">
        <f t="shared" si="189"/>
        <v>  6.2 </v>
      </c>
      <c r="G73" s="60" t="str">
        <f t="shared" si="189"/>
        <v>  5.6 </v>
      </c>
      <c r="H73" s="60" t="str">
        <f t="shared" si="189"/>
        <v>  5.2 </v>
      </c>
      <c r="I73" s="60" t="str">
        <f t="shared" si="189"/>
        <v>  6.5 </v>
      </c>
      <c r="J73" s="60" t="str">
        <f t="shared" si="189"/>
        <v>  5.7 </v>
      </c>
      <c r="K73" s="60" t="str">
        <f t="shared" si="189"/>
        <v>  7.0 </v>
      </c>
      <c r="L73" s="60" t="str">
        <f t="shared" si="189"/>
        <v>  8.2 </v>
      </c>
      <c r="M73" s="60" t="str">
        <f t="shared" si="189"/>
        <v>  7.5 </v>
      </c>
      <c r="N73" s="60" t="str">
        <f t="shared" si="189"/>
        <v>  9.1 </v>
      </c>
      <c r="O73" s="60" t="str">
        <f t="shared" si="189"/>
        <v>  73.4 </v>
      </c>
      <c r="Q73" s="59" t="s">
        <v>38</v>
      </c>
      <c r="R73" s="60" t="str">
        <f t="shared" ref="R73:AD73" si="190">R68+R72</f>
        <v>  4.6 </v>
      </c>
      <c r="S73" s="60" t="str">
        <f t="shared" si="190"/>
        <v>  9.5 </v>
      </c>
      <c r="T73" s="60" t="str">
        <f t="shared" si="190"/>
        <v>  6.5 </v>
      </c>
      <c r="U73" s="60" t="str">
        <f t="shared" si="190"/>
        <v>  9.5 </v>
      </c>
      <c r="V73" s="60" t="str">
        <f t="shared" si="190"/>
        <v>  6.3 </v>
      </c>
      <c r="W73" s="60" t="str">
        <f t="shared" si="190"/>
        <v>  7.4 </v>
      </c>
      <c r="X73" s="60" t="str">
        <f t="shared" si="190"/>
        <v>  10.7 </v>
      </c>
      <c r="Y73" s="60" t="str">
        <f t="shared" si="190"/>
        <v>  8.0 </v>
      </c>
      <c r="Z73" s="60" t="str">
        <f t="shared" si="190"/>
        <v>  7.2 </v>
      </c>
      <c r="AA73" s="60" t="str">
        <f t="shared" si="190"/>
        <v>  6.0 </v>
      </c>
      <c r="AB73" s="60" t="str">
        <f t="shared" si="190"/>
        <v>  5.3 </v>
      </c>
      <c r="AC73" s="60" t="str">
        <f t="shared" si="190"/>
        <v>  4.5 </v>
      </c>
      <c r="AD73" s="60" t="str">
        <f t="shared" si="190"/>
        <v>  85.4 </v>
      </c>
      <c r="AF73" s="59" t="s">
        <v>38</v>
      </c>
      <c r="AG73" s="60" t="str">
        <f t="shared" ref="AG73:AR73" si="191">AG68+AG72</f>
        <v>  2.6 </v>
      </c>
      <c r="AH73" s="60" t="str">
        <f t="shared" si="191"/>
        <v>  2.1 </v>
      </c>
      <c r="AI73" s="60" t="str">
        <f t="shared" si="191"/>
        <v>  2.8 </v>
      </c>
      <c r="AJ73" s="60" t="str">
        <f t="shared" si="191"/>
        <v>  2.3 </v>
      </c>
      <c r="AK73" s="60" t="str">
        <f t="shared" si="191"/>
        <v>  2.3 </v>
      </c>
      <c r="AL73" s="60" t="str">
        <f t="shared" si="191"/>
        <v>  3.9 </v>
      </c>
      <c r="AM73" s="60" t="str">
        <f t="shared" si="191"/>
        <v>  3.5 </v>
      </c>
      <c r="AN73" s="60" t="str">
        <f t="shared" si="191"/>
        <v>  3.6 </v>
      </c>
      <c r="AO73" s="60" t="str">
        <f t="shared" si="191"/>
        <v>  4.1 </v>
      </c>
      <c r="AP73" s="60" t="str">
        <f t="shared" si="191"/>
        <v>  3.8 </v>
      </c>
      <c r="AQ73" s="60" t="str">
        <f t="shared" si="191"/>
        <v>  4.0 </v>
      </c>
      <c r="AR73" s="60" t="str">
        <f t="shared" si="191"/>
        <v>  4.0 </v>
      </c>
      <c r="AS73" s="60" t="str">
        <f t="shared" ref="AS73:AS82" si="193">+SUM(AG73:AR73)</f>
        <v>  39.0 </v>
      </c>
      <c r="AU73" s="59" t="s">
        <v>38</v>
      </c>
      <c r="AV73" s="60" t="str">
        <f t="shared" ref="AV73:BG73" si="192">AV68+AV72</f>
        <v>#REF!</v>
      </c>
      <c r="AW73" s="60" t="str">
        <f t="shared" si="192"/>
        <v>#REF!</v>
      </c>
      <c r="AX73" s="60" t="str">
        <f t="shared" si="192"/>
        <v>#REF!</v>
      </c>
      <c r="AY73" s="60" t="str">
        <f t="shared" si="192"/>
        <v>#REF!</v>
      </c>
      <c r="AZ73" s="60" t="str">
        <f t="shared" si="192"/>
        <v>  2.7 </v>
      </c>
      <c r="BA73" s="60" t="str">
        <f t="shared" si="192"/>
        <v>  3.4 </v>
      </c>
      <c r="BB73" s="60" t="str">
        <f t="shared" si="192"/>
        <v>  3.0 </v>
      </c>
      <c r="BC73" s="60" t="str">
        <f t="shared" si="192"/>
        <v>  3.0 </v>
      </c>
      <c r="BD73" s="60" t="str">
        <f t="shared" si="192"/>
        <v>  3.1 </v>
      </c>
      <c r="BE73" s="60" t="str">
        <f t="shared" si="192"/>
        <v>  4.1 </v>
      </c>
      <c r="BF73" s="60" t="str">
        <f t="shared" si="192"/>
        <v>  4.4 </v>
      </c>
      <c r="BG73" s="60" t="str">
        <f t="shared" si="192"/>
        <v>  4.4 </v>
      </c>
      <c r="BH73" s="60" t="str">
        <f t="shared" ref="BH73:BH82" si="194">+SUM(AV73:BG73)</f>
        <v>#REF!</v>
      </c>
    </row>
    <row r="74" ht="15.75" customHeight="1">
      <c r="B74" s="68" t="s">
        <v>39</v>
      </c>
      <c r="C74" s="51">
        <v>-1.1957537297994394</v>
      </c>
      <c r="D74" s="51">
        <v>-1.083371601676319</v>
      </c>
      <c r="E74" s="51">
        <v>-1.247855522624972</v>
      </c>
      <c r="F74" s="51">
        <v>-1.1388972805431603</v>
      </c>
      <c r="G74" s="51">
        <v>-1.094785464020139</v>
      </c>
      <c r="H74" s="51">
        <v>-1.3489492795170657</v>
      </c>
      <c r="I74" s="51">
        <v>-1.2520935641839939</v>
      </c>
      <c r="J74" s="51">
        <v>-1.2383704346342204</v>
      </c>
      <c r="K74" s="51">
        <v>-1.2443421278673785</v>
      </c>
      <c r="L74" s="51">
        <v>-1.0679293316435197</v>
      </c>
      <c r="M74" s="51">
        <v>-1.1342946909293963</v>
      </c>
      <c r="N74" s="51">
        <v>-1.478589212147353</v>
      </c>
      <c r="O74" s="51" t="str">
        <f t="shared" ref="O74:O82" si="195">+SUM(C74:N74)</f>
        <v>  (14.5)</v>
      </c>
      <c r="Q74" s="68" t="s">
        <v>39</v>
      </c>
      <c r="R74" s="51">
        <v>-1.6670682515158783</v>
      </c>
      <c r="S74" s="51">
        <v>-1.3814870652489124</v>
      </c>
      <c r="T74" s="51">
        <v>-1.426405788912063</v>
      </c>
      <c r="U74" s="51">
        <v>-1.48096979</v>
      </c>
      <c r="V74" s="51">
        <v>-1.46189845</v>
      </c>
      <c r="W74" s="51">
        <v>-1.5572388877708274</v>
      </c>
      <c r="X74" s="51">
        <v>-1.41911729</v>
      </c>
      <c r="Y74" s="51">
        <v>-1.4364998</v>
      </c>
      <c r="Z74" s="51">
        <v>-1.46308812</v>
      </c>
      <c r="AA74" s="51">
        <v>-2.60708919</v>
      </c>
      <c r="AB74" s="51">
        <v>-0.8312989539170507</v>
      </c>
      <c r="AC74" s="51">
        <v>-0.82778752</v>
      </c>
      <c r="AD74" s="51" t="str">
        <f t="shared" ref="AD74:AD82" si="196">+SUM(R74:AC74)</f>
        <v>  (17.6)</v>
      </c>
      <c r="AF74" s="50" t="s">
        <v>39</v>
      </c>
      <c r="AG74" s="51">
        <v>-0.8373419762197145</v>
      </c>
      <c r="AH74" s="51">
        <v>-0.489614261087603</v>
      </c>
      <c r="AI74" s="51">
        <v>-0.525557441087603</v>
      </c>
      <c r="AJ74" s="51">
        <v>-0.49837259562438585</v>
      </c>
      <c r="AK74" s="51">
        <v>-0.49837259562438585</v>
      </c>
      <c r="AL74" s="51">
        <v>-0.49837259562438585</v>
      </c>
      <c r="AM74" s="51">
        <v>-0.49837259562438585</v>
      </c>
      <c r="AN74" s="51">
        <v>-0.49837259562438585</v>
      </c>
      <c r="AO74" s="51">
        <v>-0.49837259562438585</v>
      </c>
      <c r="AP74" s="51">
        <v>-0.49837259562438585</v>
      </c>
      <c r="AQ74" s="51">
        <v>-0.49837259562438585</v>
      </c>
      <c r="AR74" s="51">
        <v>-0.49837259562438585</v>
      </c>
      <c r="AS74" s="51" t="str">
        <f t="shared" si="193"/>
        <v>  (6.3)</v>
      </c>
      <c r="AU74" s="50" t="s">
        <v>39</v>
      </c>
      <c r="AV74" s="51" t="str">
        <f>VLOOKUP($AU74,#REF!,'Mkt United + Troader 26'!AV$64,0)</f>
        <v>#REF!</v>
      </c>
      <c r="AW74" s="51" t="str">
        <f>VLOOKUP($AU74,#REF!,'Mkt United + Troader 26'!AW$64,0)</f>
        <v>#REF!</v>
      </c>
      <c r="AX74" s="51" t="str">
        <f>VLOOKUP($AU74,#REF!,'Mkt United + Troader 26'!AX$64,0)</f>
        <v>#REF!</v>
      </c>
      <c r="AY74" s="51" t="str">
        <f>VLOOKUP($AU74,#REF!,'Mkt United + Troader 26'!AY$64,0)</f>
        <v>#REF!</v>
      </c>
      <c r="AZ74" s="51">
        <v>-0.45637259562438603</v>
      </c>
      <c r="BA74" s="51">
        <v>-0.45637259562438603</v>
      </c>
      <c r="BB74" s="51">
        <v>-0.34237259562438604</v>
      </c>
      <c r="BC74" s="51">
        <v>-0.34237259562438604</v>
      </c>
      <c r="BD74" s="51">
        <v>-0.34237259562438604</v>
      </c>
      <c r="BE74" s="51">
        <v>-0.34237259562438604</v>
      </c>
      <c r="BF74" s="51">
        <v>-0.34237259562438604</v>
      </c>
      <c r="BG74" s="51">
        <v>-0.34237259562438604</v>
      </c>
      <c r="BH74" s="51" t="str">
        <f t="shared" si="194"/>
        <v>#REF!</v>
      </c>
    </row>
    <row r="75" ht="15.75" customHeight="1">
      <c r="B75" s="68" t="s">
        <v>66</v>
      </c>
      <c r="C75" s="51">
        <v>-0.23677001</v>
      </c>
      <c r="D75" s="51">
        <v>-0.23790664</v>
      </c>
      <c r="E75" s="51">
        <v>-0.25191862</v>
      </c>
      <c r="F75" s="51">
        <v>-0.25696809</v>
      </c>
      <c r="G75" s="51">
        <v>-0.23343370000000002</v>
      </c>
      <c r="H75" s="51">
        <v>-0.23384184788185058</v>
      </c>
      <c r="I75" s="51">
        <v>-0.22914953283480807</v>
      </c>
      <c r="J75" s="51">
        <v>-0.223984475185148</v>
      </c>
      <c r="K75" s="51">
        <v>-0.2139689116807209</v>
      </c>
      <c r="L75" s="51">
        <v>-0.123956920922371</v>
      </c>
      <c r="M75" s="51">
        <v>-0.133341549710819</v>
      </c>
      <c r="N75" s="51">
        <v>-0.14922769575215716</v>
      </c>
      <c r="O75" s="51" t="str">
        <f t="shared" si="195"/>
        <v>  (2.5)</v>
      </c>
      <c r="Q75" s="68" t="s">
        <v>66</v>
      </c>
      <c r="R75" s="51">
        <v>-0.2835819366595454</v>
      </c>
      <c r="S75" s="51">
        <v>-0.2443327886312987</v>
      </c>
      <c r="T75" s="51">
        <v>-0.25230833200256325</v>
      </c>
      <c r="U75" s="51">
        <v>-0.20018719000000001</v>
      </c>
      <c r="V75" s="51">
        <v>-0.29515963</v>
      </c>
      <c r="W75" s="51">
        <v>-0.23247213</v>
      </c>
      <c r="X75" s="51">
        <v>-0.234</v>
      </c>
      <c r="Y75" s="51">
        <v>-0.257</v>
      </c>
      <c r="Z75" s="51">
        <v>-0.19897243</v>
      </c>
      <c r="AA75" s="51">
        <v>-0.212162</v>
      </c>
      <c r="AB75" s="51">
        <v>-0.245268</v>
      </c>
      <c r="AC75" s="51">
        <v>-0.233943</v>
      </c>
      <c r="AD75" s="51" t="str">
        <f t="shared" si="196"/>
        <v>  (2.9)</v>
      </c>
      <c r="AF75" s="68" t="s">
        <v>66</v>
      </c>
      <c r="AG75" s="51">
        <v>-0.23</v>
      </c>
      <c r="AH75" s="51">
        <v>-0.23</v>
      </c>
      <c r="AI75" s="51">
        <v>-0.23</v>
      </c>
      <c r="AJ75" s="51">
        <v>-0.23</v>
      </c>
      <c r="AK75" s="51">
        <v>-0.23</v>
      </c>
      <c r="AL75" s="51">
        <v>-0.23</v>
      </c>
      <c r="AM75" s="51">
        <v>-0.23</v>
      </c>
      <c r="AN75" s="51">
        <v>-0.23</v>
      </c>
      <c r="AO75" s="51">
        <v>-0.23</v>
      </c>
      <c r="AP75" s="51">
        <v>-0.23</v>
      </c>
      <c r="AQ75" s="51">
        <v>-0.23</v>
      </c>
      <c r="AR75" s="51">
        <v>-0.23</v>
      </c>
      <c r="AS75" s="51" t="str">
        <f t="shared" si="193"/>
        <v>  (2.8)</v>
      </c>
      <c r="AU75" s="68" t="s">
        <v>66</v>
      </c>
      <c r="AV75" s="51" t="str">
        <f>VLOOKUP($AU75,#REF!,'Mkt United + Troader 26'!AV$64,0)</f>
        <v>#REF!</v>
      </c>
      <c r="AW75" s="51" t="str">
        <f>VLOOKUP($AU75,#REF!,'Mkt United + Troader 26'!AW$64,0)</f>
        <v>#REF!</v>
      </c>
      <c r="AX75" s="51" t="str">
        <f>VLOOKUP($AU75,#REF!,'Mkt United + Troader 26'!AX$64,0)</f>
        <v>#REF!</v>
      </c>
      <c r="AY75" s="51" t="str">
        <f>VLOOKUP($AU75,#REF!,'Mkt United + Troader 26'!AY$64,0)</f>
        <v>#REF!</v>
      </c>
      <c r="AZ75" s="51">
        <v>0.0</v>
      </c>
      <c r="BA75" s="51">
        <v>0.0</v>
      </c>
      <c r="BB75" s="51">
        <v>0.0</v>
      </c>
      <c r="BC75" s="51">
        <v>0.0</v>
      </c>
      <c r="BD75" s="51">
        <v>0.0</v>
      </c>
      <c r="BE75" s="51">
        <v>0.0</v>
      </c>
      <c r="BF75" s="51">
        <v>0.0</v>
      </c>
      <c r="BG75" s="51">
        <v>0.0</v>
      </c>
      <c r="BH75" s="51" t="str">
        <f t="shared" si="194"/>
        <v>#REF!</v>
      </c>
    </row>
    <row r="76" ht="15.75" customHeight="1">
      <c r="B76" s="68" t="s">
        <v>41</v>
      </c>
      <c r="C76" s="51">
        <v>-0.50543082</v>
      </c>
      <c r="D76" s="51">
        <v>-0.3903114391109558</v>
      </c>
      <c r="E76" s="51">
        <v>-0.5859258196284544</v>
      </c>
      <c r="F76" s="51">
        <v>-0.7414722321428571</v>
      </c>
      <c r="G76" s="51">
        <v>-0.5117754596264708</v>
      </c>
      <c r="H76" s="51">
        <v>-0.5273891619192443</v>
      </c>
      <c r="I76" s="51">
        <v>-0.8028763642234413</v>
      </c>
      <c r="J76" s="51">
        <v>-0.6447339405490067</v>
      </c>
      <c r="K76" s="51">
        <v>-0.9369409499933901</v>
      </c>
      <c r="L76" s="51">
        <v>-1.143263671547236</v>
      </c>
      <c r="M76" s="51">
        <v>-1.6871243070666666</v>
      </c>
      <c r="N76" s="51">
        <v>-1.1432981519291432</v>
      </c>
      <c r="O76" s="51" t="str">
        <f t="shared" si="195"/>
        <v>  (9.6)</v>
      </c>
      <c r="Q76" s="68" t="s">
        <v>41</v>
      </c>
      <c r="R76" s="51">
        <v>-0.798761782061467</v>
      </c>
      <c r="S76" s="51">
        <v>-0.9152292218100526</v>
      </c>
      <c r="T76" s="51">
        <v>-0.8714381713654793</v>
      </c>
      <c r="U76" s="51">
        <v>-1.10033827</v>
      </c>
      <c r="V76" s="51">
        <v>-0.8109770730000001</v>
      </c>
      <c r="W76" s="51">
        <v>-1.1105972194417593</v>
      </c>
      <c r="X76" s="51">
        <v>-1.0234132900000001</v>
      </c>
      <c r="Y76" s="51">
        <v>-0.90236147</v>
      </c>
      <c r="Z76" s="51">
        <v>-0.5787053945880001</v>
      </c>
      <c r="AA76" s="51">
        <v>-0.45135123979399994</v>
      </c>
      <c r="AB76" s="51">
        <v>-0.4787788318970809</v>
      </c>
      <c r="AC76" s="51">
        <v>-0.4681936512</v>
      </c>
      <c r="AD76" s="51" t="str">
        <f t="shared" si="196"/>
        <v>  (9.5)</v>
      </c>
      <c r="AF76" s="68" t="s">
        <v>41</v>
      </c>
      <c r="AG76" s="51">
        <v>-0.03446125</v>
      </c>
      <c r="AH76" s="51">
        <v>-0.09446125000000002</v>
      </c>
      <c r="AI76" s="51">
        <v>-0.06446125</v>
      </c>
      <c r="AJ76" s="51">
        <v>-0.06446125</v>
      </c>
      <c r="AK76" s="51">
        <v>-0.06446125</v>
      </c>
      <c r="AL76" s="51">
        <v>-0.06446125</v>
      </c>
      <c r="AM76" s="51">
        <v>-0.06446125</v>
      </c>
      <c r="AN76" s="51">
        <v>-0.06446125</v>
      </c>
      <c r="AO76" s="51">
        <v>-0.06446125</v>
      </c>
      <c r="AP76" s="51">
        <v>-0.06446125</v>
      </c>
      <c r="AQ76" s="51">
        <v>-0.06446125</v>
      </c>
      <c r="AR76" s="51">
        <v>-0.06446125</v>
      </c>
      <c r="AS76" s="51" t="str">
        <f t="shared" si="193"/>
        <v>  (0.8)</v>
      </c>
      <c r="AU76" s="68" t="s">
        <v>41</v>
      </c>
      <c r="AV76" s="51" t="str">
        <f>VLOOKUP($AU76,#REF!,'Mkt United + Troader 26'!AV$64,0)</f>
        <v>#REF!</v>
      </c>
      <c r="AW76" s="51" t="str">
        <f>VLOOKUP($AU76,#REF!,'Mkt United + Troader 26'!AW$64,0)</f>
        <v>#REF!</v>
      </c>
      <c r="AX76" s="51" t="str">
        <f>VLOOKUP($AU76,#REF!,'Mkt United + Troader 26'!AX$64,0)</f>
        <v>#REF!</v>
      </c>
      <c r="AY76" s="51" t="str">
        <f>VLOOKUP($AU76,#REF!,'Mkt United + Troader 26'!AY$64,0)</f>
        <v>#REF!</v>
      </c>
      <c r="AZ76" s="51">
        <v>-0.06446125</v>
      </c>
      <c r="BA76" s="51">
        <v>-0.06446125</v>
      </c>
      <c r="BB76" s="51">
        <v>-0.06446125</v>
      </c>
      <c r="BC76" s="51">
        <v>-0.06446125</v>
      </c>
      <c r="BD76" s="51">
        <v>-0.06446125</v>
      </c>
      <c r="BE76" s="51">
        <v>-0.06446125</v>
      </c>
      <c r="BF76" s="51">
        <v>-0.06446125</v>
      </c>
      <c r="BG76" s="51">
        <v>-0.06446125</v>
      </c>
      <c r="BH76" s="51" t="str">
        <f t="shared" si="194"/>
        <v>#REF!</v>
      </c>
    </row>
    <row r="77" ht="15.75" customHeight="1">
      <c r="B77" s="68" t="s">
        <v>67</v>
      </c>
      <c r="C77" s="51">
        <v>-0.29498808000000004</v>
      </c>
      <c r="D77" s="51">
        <v>-0.29498808000000004</v>
      </c>
      <c r="E77" s="51">
        <v>-0.33095908909090915</v>
      </c>
      <c r="F77" s="51">
        <v>-0.30688717090909096</v>
      </c>
      <c r="G77" s="51">
        <v>-0.29520966363636364</v>
      </c>
      <c r="H77" s="51">
        <v>-0.3209355361060606</v>
      </c>
      <c r="I77" s="51">
        <v>-0.31731623909090906</v>
      </c>
      <c r="J77" s="51">
        <v>-0.26571673909090915</v>
      </c>
      <c r="K77" s="51">
        <v>-0.3250137105194805</v>
      </c>
      <c r="L77" s="51">
        <v>-0.3257167390909091</v>
      </c>
      <c r="M77" s="51">
        <v>-0.3257167390909091</v>
      </c>
      <c r="N77" s="51">
        <v>-0.3629265389643094</v>
      </c>
      <c r="O77" s="51" t="str">
        <f t="shared" si="195"/>
        <v>  (3.8)</v>
      </c>
      <c r="Q77" s="68" t="s">
        <v>67</v>
      </c>
      <c r="R77" s="51">
        <v>-0.26245648</v>
      </c>
      <c r="S77" s="51">
        <v>-0.27547430359999997</v>
      </c>
      <c r="T77" s="51">
        <v>-0.268112691</v>
      </c>
      <c r="U77" s="51">
        <v>-0.26245648</v>
      </c>
      <c r="V77" s="51">
        <v>-0.26245648</v>
      </c>
      <c r="W77" s="51">
        <v>-0.15258689</v>
      </c>
      <c r="X77" s="51">
        <v>-0.26245648</v>
      </c>
      <c r="Y77" s="51">
        <v>-0.26689033</v>
      </c>
      <c r="Z77" s="51">
        <v>-0.25069393</v>
      </c>
      <c r="AA77" s="51">
        <v>-0.19307066</v>
      </c>
      <c r="AB77" s="51">
        <v>-0.33949099</v>
      </c>
      <c r="AC77" s="51">
        <v>-0.33949099</v>
      </c>
      <c r="AD77" s="51" t="str">
        <f t="shared" si="196"/>
        <v>  (3.1)</v>
      </c>
      <c r="AF77" s="68" t="s">
        <v>67</v>
      </c>
      <c r="AG77" s="51">
        <v>-0.23278715000000003</v>
      </c>
      <c r="AH77" s="51">
        <v>-0.100606131841017</v>
      </c>
      <c r="AI77" s="51">
        <v>-0.19560613184101738</v>
      </c>
      <c r="AJ77" s="51">
        <v>-0.100606131841017</v>
      </c>
      <c r="AK77" s="51">
        <v>-0.100606131841017</v>
      </c>
      <c r="AL77" s="51">
        <v>-0.19560613184101738</v>
      </c>
      <c r="AM77" s="51">
        <v>-0.19560613184101738</v>
      </c>
      <c r="AN77" s="51">
        <v>-0.19560613184101738</v>
      </c>
      <c r="AO77" s="51">
        <v>-0.29060613184101736</v>
      </c>
      <c r="AP77" s="51">
        <v>-0.29060613184101736</v>
      </c>
      <c r="AQ77" s="51">
        <v>-0.19560613184101738</v>
      </c>
      <c r="AR77" s="51">
        <v>-0.29060613184101736</v>
      </c>
      <c r="AS77" s="51" t="str">
        <f t="shared" si="193"/>
        <v>  (2.4)</v>
      </c>
      <c r="AU77" s="68" t="s">
        <v>67</v>
      </c>
      <c r="AV77" s="51" t="str">
        <f>VLOOKUP($AU77,#REF!,'Mkt United + Troader 26'!AV$64,0)</f>
        <v>#REF!</v>
      </c>
      <c r="AW77" s="51" t="str">
        <f>VLOOKUP($AU77,#REF!,'Mkt United + Troader 26'!AW$64,0)</f>
        <v>#REF!</v>
      </c>
      <c r="AX77" s="51" t="str">
        <f>VLOOKUP($AU77,#REF!,'Mkt United + Troader 26'!AX$64,0)</f>
        <v>#REF!</v>
      </c>
      <c r="AY77" s="51" t="str">
        <f>VLOOKUP($AU77,#REF!,'Mkt United + Troader 26'!AY$64,0)</f>
        <v>#REF!</v>
      </c>
      <c r="AZ77" s="51">
        <v>-0.268219181666667</v>
      </c>
      <c r="BA77" s="51">
        <v>-0.22668056573717899</v>
      </c>
      <c r="BB77" s="51">
        <v>-0.216526719583333</v>
      </c>
      <c r="BC77" s="51">
        <v>-0.216719153645833</v>
      </c>
      <c r="BD77" s="51">
        <v>-0.216719153645833</v>
      </c>
      <c r="BE77" s="51">
        <v>-0.218556653645833</v>
      </c>
      <c r="BF77" s="51">
        <v>-0.216719153645833</v>
      </c>
      <c r="BG77" s="51">
        <v>-0.216719153645833</v>
      </c>
      <c r="BH77" s="51" t="str">
        <f t="shared" si="194"/>
        <v>#REF!</v>
      </c>
    </row>
    <row r="78" ht="15.75" customHeight="1">
      <c r="B78" s="68" t="s">
        <v>68</v>
      </c>
      <c r="C78" s="51">
        <v>-0.21591546354384808</v>
      </c>
      <c r="D78" s="51">
        <v>-0.21055999179268295</v>
      </c>
      <c r="E78" s="51">
        <v>-0.23298484791446755</v>
      </c>
      <c r="F78" s="51">
        <v>-0.19714638045932203</v>
      </c>
      <c r="G78" s="51">
        <v>-0.17605651430066732</v>
      </c>
      <c r="H78" s="51">
        <v>-0.15143062434236002</v>
      </c>
      <c r="I78" s="51">
        <v>-0.1368007023163408</v>
      </c>
      <c r="J78" s="51">
        <v>-0.17351004249709326</v>
      </c>
      <c r="K78" s="51">
        <v>-0.1356062410732009</v>
      </c>
      <c r="L78" s="51">
        <v>-0.12285157288559673</v>
      </c>
      <c r="M78" s="51">
        <v>-0.12184170314870035</v>
      </c>
      <c r="N78" s="51">
        <v>-0.12184170314870035</v>
      </c>
      <c r="O78" s="51" t="str">
        <f t="shared" si="195"/>
        <v>  (2.0)</v>
      </c>
      <c r="Q78" s="68" t="s">
        <v>68</v>
      </c>
      <c r="R78" s="51">
        <v>-0.10995764999999999</v>
      </c>
      <c r="S78" s="51">
        <v>-0.152126867281519</v>
      </c>
      <c r="T78" s="51">
        <v>-0.17337146009999999</v>
      </c>
      <c r="U78" s="51">
        <v>-0.19227151</v>
      </c>
      <c r="V78" s="51">
        <v>-0.12264228999999999</v>
      </c>
      <c r="W78" s="51">
        <v>-0.26245648</v>
      </c>
      <c r="X78" s="51">
        <v>-0.13381048</v>
      </c>
      <c r="Y78" s="51">
        <v>-0.26245658</v>
      </c>
      <c r="Z78" s="51">
        <v>-0.26245648</v>
      </c>
      <c r="AA78" s="51">
        <v>-0.25860475</v>
      </c>
      <c r="AB78" s="51">
        <v>-0.19958044</v>
      </c>
      <c r="AC78" s="51">
        <v>-0.27781139</v>
      </c>
      <c r="AD78" s="51" t="str">
        <f t="shared" si="196"/>
        <v>  (2.4)</v>
      </c>
      <c r="AF78" s="68" t="s">
        <v>68</v>
      </c>
      <c r="AG78" s="51">
        <v>-0.125671122251538</v>
      </c>
      <c r="AH78" s="51">
        <v>-0.09646938936868618</v>
      </c>
      <c r="AI78" s="51">
        <v>-0.09648151128450219</v>
      </c>
      <c r="AJ78" s="51">
        <v>-0.09648151128450219</v>
      </c>
      <c r="AK78" s="51">
        <v>-0.09648151128450219</v>
      </c>
      <c r="AL78" s="51">
        <v>-0.09648151128450219</v>
      </c>
      <c r="AM78" s="51">
        <v>-0.09648151128450219</v>
      </c>
      <c r="AN78" s="51">
        <v>-0.09648151128450219</v>
      </c>
      <c r="AO78" s="51">
        <v>-0.09648151128450219</v>
      </c>
      <c r="AP78" s="51">
        <v>-0.09648151128450219</v>
      </c>
      <c r="AQ78" s="51">
        <v>-0.09648151128450219</v>
      </c>
      <c r="AR78" s="51">
        <v>-0.09648151128450219</v>
      </c>
      <c r="AS78" s="51" t="str">
        <f t="shared" si="193"/>
        <v>  (1.2)</v>
      </c>
      <c r="AU78" s="68" t="s">
        <v>68</v>
      </c>
      <c r="AV78" s="51" t="str">
        <f>VLOOKUP($AU78,#REF!,'Mkt United + Troader 26'!AV$64,0)</f>
        <v>#REF!</v>
      </c>
      <c r="AW78" s="51" t="str">
        <f>VLOOKUP($AU78,#REF!,'Mkt United + Troader 26'!AW$64,0)</f>
        <v>#REF!</v>
      </c>
      <c r="AX78" s="51" t="str">
        <f>VLOOKUP($AU78,#REF!,'Mkt United + Troader 26'!AX$64,0)</f>
        <v>#REF!</v>
      </c>
      <c r="AY78" s="51" t="str">
        <f>VLOOKUP($AU78,#REF!,'Mkt United + Troader 26'!AY$64,0)</f>
        <v>#REF!</v>
      </c>
      <c r="AZ78" s="51">
        <v>-0.04709976090166849</v>
      </c>
      <c r="BA78" s="51">
        <v>-0.03355808577799796</v>
      </c>
      <c r="BB78" s="51">
        <v>-0.03354759904652402</v>
      </c>
      <c r="BC78" s="51">
        <v>-0.04880442993487012</v>
      </c>
      <c r="BD78" s="51">
        <v>-0.036360669934870124</v>
      </c>
      <c r="BE78" s="51">
        <v>-0.036360669934870124</v>
      </c>
      <c r="BF78" s="51">
        <v>-0.05106693175305194</v>
      </c>
      <c r="BG78" s="51">
        <v>-0.036360669934870124</v>
      </c>
      <c r="BH78" s="51" t="str">
        <f t="shared" si="194"/>
        <v>#REF!</v>
      </c>
      <c r="BI78" t="s">
        <v>77</v>
      </c>
    </row>
    <row r="79" ht="15.75" customHeight="1">
      <c r="B79" s="68" t="s">
        <v>44</v>
      </c>
      <c r="C79" s="51">
        <v>-0.25813331</v>
      </c>
      <c r="D79" s="51">
        <v>-0.20956310914676213</v>
      </c>
      <c r="E79" s="51">
        <v>-0.20331204446207413</v>
      </c>
      <c r="F79" s="51">
        <v>-0.2099114907142857</v>
      </c>
      <c r="G79" s="51">
        <v>-0.21068380694572017</v>
      </c>
      <c r="H79" s="51">
        <v>-0.21493930339676282</v>
      </c>
      <c r="I79" s="51">
        <v>-0.21654285943832097</v>
      </c>
      <c r="J79" s="51">
        <v>-0.2198884744524514</v>
      </c>
      <c r="K79" s="51">
        <v>-0.22195493262511803</v>
      </c>
      <c r="L79" s="51">
        <v>-0.2250580190279809</v>
      </c>
      <c r="M79" s="51">
        <v>-0.22648901815064298</v>
      </c>
      <c r="N79" s="51">
        <v>-0.22702255520615905</v>
      </c>
      <c r="O79" s="51" t="str">
        <f t="shared" si="195"/>
        <v>  (2.6)</v>
      </c>
      <c r="Q79" s="68" t="s">
        <v>44</v>
      </c>
      <c r="R79" s="51">
        <v>-0.3271872589489574</v>
      </c>
      <c r="S79" s="51">
        <v>-0.26531365017170266</v>
      </c>
      <c r="T79" s="51">
        <v>-0.2949171528608441</v>
      </c>
      <c r="U79" s="51">
        <v>-0.23821539000000003</v>
      </c>
      <c r="V79" s="51">
        <v>-0.24979211</v>
      </c>
      <c r="W79" s="51">
        <v>-0.24991961110700409</v>
      </c>
      <c r="X79" s="51">
        <v>-0.25539541</v>
      </c>
      <c r="Y79" s="51">
        <v>-0.26054566999999995</v>
      </c>
      <c r="Z79" s="51">
        <v>-0.247771979</v>
      </c>
      <c r="AA79" s="51">
        <v>-0.26890262</v>
      </c>
      <c r="AB79" s="51">
        <v>-0.2539805297695852</v>
      </c>
      <c r="AC79" s="51">
        <v>-0.28546922</v>
      </c>
      <c r="AD79" s="51" t="str">
        <f t="shared" si="196"/>
        <v>  (3.2)</v>
      </c>
      <c r="AF79" s="68" t="s">
        <v>44</v>
      </c>
      <c r="AG79" s="51">
        <v>-0.124053858635574</v>
      </c>
      <c r="AH79" s="51">
        <v>-0.124053858635574</v>
      </c>
      <c r="AI79" s="51">
        <v>-0.124053858635574</v>
      </c>
      <c r="AJ79" s="51">
        <v>-0.124053858635574</v>
      </c>
      <c r="AK79" s="51">
        <v>-0.124053858635574</v>
      </c>
      <c r="AL79" s="51">
        <v>-0.124053858635574</v>
      </c>
      <c r="AM79" s="51">
        <v>-0.124053858635574</v>
      </c>
      <c r="AN79" s="51">
        <v>-0.124053858635574</v>
      </c>
      <c r="AO79" s="51">
        <v>-0.124053858635574</v>
      </c>
      <c r="AP79" s="51">
        <v>-0.124053858635574</v>
      </c>
      <c r="AQ79" s="51">
        <v>-0.124053858635574</v>
      </c>
      <c r="AR79" s="51">
        <v>-0.124053858635574</v>
      </c>
      <c r="AS79" s="51" t="str">
        <f t="shared" si="193"/>
        <v>  (1.5)</v>
      </c>
      <c r="AU79" s="68" t="s">
        <v>44</v>
      </c>
      <c r="AV79" s="51" t="str">
        <f>VLOOKUP($AU79,#REF!,'Mkt United + Troader 26'!AV$64,0)</f>
        <v>#REF!</v>
      </c>
      <c r="AW79" s="51" t="str">
        <f>VLOOKUP($AU79,#REF!,'Mkt United + Troader 26'!AW$64,0)</f>
        <v>#REF!</v>
      </c>
      <c r="AX79" s="51" t="str">
        <f>VLOOKUP($AU79,#REF!,'Mkt United + Troader 26'!AX$64,0)</f>
        <v>#REF!</v>
      </c>
      <c r="AY79" s="51" t="str">
        <f>VLOOKUP($AU79,#REF!,'Mkt United + Troader 26'!AY$64,0)</f>
        <v>#REF!</v>
      </c>
      <c r="AZ79" s="51" t="str">
        <f>+[1]Gastos!G26</f>
        <v>#ERROR!</v>
      </c>
      <c r="BA79" s="51" t="str">
        <f>+[1]Gastos!H26</f>
        <v>#ERROR!</v>
      </c>
      <c r="BB79" s="51" t="str">
        <f>+[1]Gastos!I26</f>
        <v>#ERROR!</v>
      </c>
      <c r="BC79" s="51" t="str">
        <f>+[1]Gastos!J26</f>
        <v>#ERROR!</v>
      </c>
      <c r="BD79" s="51" t="str">
        <f>+[1]Gastos!K26</f>
        <v>#ERROR!</v>
      </c>
      <c r="BE79" s="51" t="str">
        <f>+[1]Gastos!L26</f>
        <v>#ERROR!</v>
      </c>
      <c r="BF79" s="51" t="str">
        <f>+[1]Gastos!M26</f>
        <v>#ERROR!</v>
      </c>
      <c r="BG79" s="51" t="str">
        <f>+[1]Gastos!N26</f>
        <v>#ERROR!</v>
      </c>
      <c r="BH79" s="51" t="str">
        <f t="shared" si="194"/>
        <v>#REF!</v>
      </c>
      <c r="BI79" s="51">
        <v>-1.5924208999619816</v>
      </c>
    </row>
    <row r="80" ht="15.75" customHeight="1">
      <c r="B80" s="68" t="s">
        <v>45</v>
      </c>
      <c r="C80" s="51">
        <v>-0.07099123</v>
      </c>
      <c r="D80" s="51">
        <v>-0.0812484</v>
      </c>
      <c r="E80" s="51">
        <v>-0.06527152</v>
      </c>
      <c r="F80" s="51">
        <v>-0.07462716999999999</v>
      </c>
      <c r="G80" s="51">
        <v>-0.0760559</v>
      </c>
      <c r="H80" s="51">
        <v>-0.0668663899999999</v>
      </c>
      <c r="I80" s="51">
        <v>-0.0668663899999999</v>
      </c>
      <c r="J80" s="51">
        <v>-0.0811681199999998</v>
      </c>
      <c r="K80" s="51">
        <v>-0.08716612999999988</v>
      </c>
      <c r="L80" s="51">
        <v>-0.0917125499999999</v>
      </c>
      <c r="M80" s="51">
        <v>-0.08051564</v>
      </c>
      <c r="N80" s="51">
        <v>-0.08963599999999942</v>
      </c>
      <c r="O80" s="51" t="str">
        <f t="shared" si="195"/>
        <v>  (0.9)</v>
      </c>
      <c r="Q80" s="68" t="s">
        <v>45</v>
      </c>
      <c r="R80" s="51">
        <v>-0.11797266000000003</v>
      </c>
      <c r="S80" s="51">
        <v>-0.13449559000000008</v>
      </c>
      <c r="T80" s="51">
        <v>-0.07047922</v>
      </c>
      <c r="U80" s="51">
        <v>-0.09</v>
      </c>
      <c r="V80" s="51">
        <v>-0.114095</v>
      </c>
      <c r="W80" s="51">
        <v>-0.10453469</v>
      </c>
      <c r="X80" s="51">
        <v>-0.10527637</v>
      </c>
      <c r="Y80" s="51">
        <v>-0.10527638</v>
      </c>
      <c r="Z80" s="51">
        <v>-0.10819667999999999</v>
      </c>
      <c r="AA80" s="51">
        <v>-0.12694863</v>
      </c>
      <c r="AB80" s="51">
        <v>-0.10812357</v>
      </c>
      <c r="AC80" s="51">
        <v>-0.10400332000000001</v>
      </c>
      <c r="AD80" s="51" t="str">
        <f t="shared" si="196"/>
        <v>  (1.3)</v>
      </c>
      <c r="AF80" s="68" t="s">
        <v>45</v>
      </c>
      <c r="AG80" s="51">
        <v>-0.09041552519999665</v>
      </c>
      <c r="AH80" s="51">
        <v>-0.09153904619999667</v>
      </c>
      <c r="AI80" s="51">
        <v>-0.09463671839999667</v>
      </c>
      <c r="AJ80" s="51">
        <v>-0.09410460779999666</v>
      </c>
      <c r="AK80" s="51">
        <v>-0.09466946999999656</v>
      </c>
      <c r="AL80" s="51">
        <v>-0.09101856819999668</v>
      </c>
      <c r="AM80" s="51">
        <v>-0.10108503999999902</v>
      </c>
      <c r="AN80" s="51">
        <v>-0.098087543399999</v>
      </c>
      <c r="AO80" s="51">
        <v>-0.09771456519999668</v>
      </c>
      <c r="AP80" s="51">
        <v>-0.09771456519999668</v>
      </c>
      <c r="AQ80" s="51">
        <v>-0.09771456519999668</v>
      </c>
      <c r="AR80" s="51">
        <v>-0.09771456519999668</v>
      </c>
      <c r="AS80" s="51" t="str">
        <f t="shared" si="193"/>
        <v>  (1.1)</v>
      </c>
      <c r="AU80" s="68" t="s">
        <v>45</v>
      </c>
      <c r="AV80" s="51" t="str">
        <f>VLOOKUP($AU80,#REF!,'Mkt United + Troader 26'!AV$64,0)</f>
        <v>#REF!</v>
      </c>
      <c r="AW80" s="51" t="str">
        <f>VLOOKUP($AU80,#REF!,'Mkt United + Troader 26'!AW$64,0)</f>
        <v>#REF!</v>
      </c>
      <c r="AX80" s="51" t="str">
        <f>VLOOKUP($AU80,#REF!,'Mkt United + Troader 26'!AX$64,0)</f>
        <v>#REF!</v>
      </c>
      <c r="AY80" s="51" t="str">
        <f>VLOOKUP($AU80,#REF!,'Mkt United + Troader 26'!AY$64,0)</f>
        <v>#REF!</v>
      </c>
      <c r="AZ80" s="51" t="str">
        <f>+[1]Gastos!G27</f>
        <v>#ERROR!</v>
      </c>
      <c r="BA80" s="51" t="str">
        <f>+[1]Gastos!H27</f>
        <v>#ERROR!</v>
      </c>
      <c r="BB80" s="51" t="str">
        <f>+[1]Gastos!I27</f>
        <v>#ERROR!</v>
      </c>
      <c r="BC80" s="51" t="str">
        <f>+[1]Gastos!J27</f>
        <v>#ERROR!</v>
      </c>
      <c r="BD80" s="51" t="str">
        <f>+[1]Gastos!K27</f>
        <v>#ERROR!</v>
      </c>
      <c r="BE80" s="51" t="str">
        <f>+[1]Gastos!L27</f>
        <v>#ERROR!</v>
      </c>
      <c r="BF80" s="51" t="str">
        <f>+[1]Gastos!M27</f>
        <v>#ERROR!</v>
      </c>
      <c r="BG80" s="51" t="str">
        <f>+[1]Gastos!N27</f>
        <v>#ERROR!</v>
      </c>
      <c r="BH80" s="51" t="str">
        <f t="shared" si="194"/>
        <v>#REF!</v>
      </c>
      <c r="BI80" s="51">
        <v>-1.1651387501999746</v>
      </c>
    </row>
    <row r="81" ht="15.75" customHeight="1">
      <c r="B81" s="68" t="s">
        <v>46</v>
      </c>
      <c r="C81" s="51">
        <v>-6.37E-4</v>
      </c>
      <c r="D81" s="51">
        <v>-0.014</v>
      </c>
      <c r="E81" s="51">
        <v>-6.14E-4</v>
      </c>
      <c r="F81" s="51">
        <v>-6.01E-4</v>
      </c>
      <c r="G81" s="51">
        <v>-6.0147E-4</v>
      </c>
      <c r="H81" s="51">
        <v>-6.03479484916E-4</v>
      </c>
      <c r="I81" s="51">
        <v>-7.034794849160001E-4</v>
      </c>
      <c r="J81" s="51">
        <v>-7.05E-4</v>
      </c>
      <c r="K81" s="51">
        <v>-7.08E-4</v>
      </c>
      <c r="L81" s="51">
        <v>-7.08E-4</v>
      </c>
      <c r="M81" s="51">
        <v>-7.03E-4</v>
      </c>
      <c r="N81" s="51">
        <v>-7.02E-4</v>
      </c>
      <c r="O81" s="51" t="str">
        <f t="shared" si="195"/>
        <v>  (0.0)</v>
      </c>
      <c r="Q81" s="68" t="s">
        <v>46</v>
      </c>
      <c r="R81" s="51">
        <v>-0.003556625</v>
      </c>
      <c r="S81" s="51">
        <v>-0.003556625</v>
      </c>
      <c r="T81" s="51">
        <v>-6.43E-4</v>
      </c>
      <c r="U81" s="51">
        <v>-6.44E-4</v>
      </c>
      <c r="V81" s="51">
        <v>-6.43E-4</v>
      </c>
      <c r="W81" s="51">
        <v>-6.7515E-4</v>
      </c>
      <c r="X81" s="51">
        <v>-6.47E-4</v>
      </c>
      <c r="Y81" s="51">
        <v>-6.48E-4</v>
      </c>
      <c r="Z81" s="51">
        <v>-7.33E-4</v>
      </c>
      <c r="AA81" s="51">
        <v>-7.26E-4</v>
      </c>
      <c r="AB81" s="51">
        <v>-7.2135E-4</v>
      </c>
      <c r="AC81" s="51">
        <v>-7.22E-4</v>
      </c>
      <c r="AD81" s="51" t="str">
        <f t="shared" si="196"/>
        <v>  (0.0)</v>
      </c>
      <c r="AF81" s="68" t="s">
        <v>46</v>
      </c>
      <c r="AG81" s="51">
        <v>-0.00373445625</v>
      </c>
      <c r="AH81" s="51">
        <v>-0.00373445625</v>
      </c>
      <c r="AI81" s="51">
        <v>-6.7515E-4</v>
      </c>
      <c r="AJ81" s="51">
        <v>-6.762000000000001E-4</v>
      </c>
      <c r="AK81" s="51">
        <v>-6.7515E-4</v>
      </c>
      <c r="AL81" s="51">
        <v>-7.089075E-4</v>
      </c>
      <c r="AM81" s="51">
        <v>-6.7935E-4</v>
      </c>
      <c r="AN81" s="51">
        <v>-6.804E-4</v>
      </c>
      <c r="AO81" s="51">
        <v>-7.6965E-4</v>
      </c>
      <c r="AP81" s="51">
        <v>-7.6965E-4</v>
      </c>
      <c r="AQ81" s="51">
        <v>-7.6965E-4</v>
      </c>
      <c r="AR81" s="51">
        <v>-7.6965E-4</v>
      </c>
      <c r="AS81" s="51" t="str">
        <f t="shared" si="193"/>
        <v>  (0.0)</v>
      </c>
      <c r="AU81" s="68" t="s">
        <v>46</v>
      </c>
      <c r="AV81" s="51" t="str">
        <f>VLOOKUP($AU81,#REF!,'Mkt United + Troader 26'!AV$64,0)</f>
        <v>#REF!</v>
      </c>
      <c r="AW81" s="51" t="str">
        <f>VLOOKUP($AU81,#REF!,'Mkt United + Troader 26'!AW$64,0)</f>
        <v>#REF!</v>
      </c>
      <c r="AX81" s="51" t="str">
        <f>VLOOKUP($AU81,#REF!,'Mkt United + Troader 26'!AX$64,0)</f>
        <v>#REF!</v>
      </c>
      <c r="AY81" s="51" t="str">
        <f>VLOOKUP($AU81,#REF!,'Mkt United + Troader 26'!AY$64,0)</f>
        <v>#REF!</v>
      </c>
      <c r="AZ81" s="51">
        <v>-6.7515E-4</v>
      </c>
      <c r="BA81" s="51">
        <v>-7.089075E-4</v>
      </c>
      <c r="BB81" s="51">
        <v>-6.7935E-4</v>
      </c>
      <c r="BC81" s="51">
        <v>-6.804E-4</v>
      </c>
      <c r="BD81" s="51">
        <v>-7.6965E-4</v>
      </c>
      <c r="BE81" s="51">
        <v>-7.6965E-4</v>
      </c>
      <c r="BF81" s="51">
        <v>-7.6965E-4</v>
      </c>
      <c r="BG81" s="51">
        <v>-7.6965E-4</v>
      </c>
      <c r="BH81" s="51" t="str">
        <f t="shared" si="194"/>
        <v>#REF!</v>
      </c>
    </row>
    <row r="82" ht="15.75" customHeight="1">
      <c r="B82" s="50" t="s">
        <v>48</v>
      </c>
      <c r="C82" s="51">
        <v>-1.011614</v>
      </c>
      <c r="D82" s="51">
        <v>-1.008367</v>
      </c>
      <c r="E82" s="51">
        <v>-1.086478</v>
      </c>
      <c r="F82" s="51">
        <v>-1.134169</v>
      </c>
      <c r="G82" s="51">
        <v>-1.213996</v>
      </c>
      <c r="H82" s="51">
        <v>-1.22495</v>
      </c>
      <c r="I82" s="51">
        <v>-1.339898</v>
      </c>
      <c r="J82" s="51">
        <v>-1.16255159400491</v>
      </c>
      <c r="K82" s="51">
        <v>-1.7105640182861142</v>
      </c>
      <c r="L82" s="51">
        <v>-1.59043886590011</v>
      </c>
      <c r="M82" s="51">
        <v>-1.52976349393359</v>
      </c>
      <c r="N82" s="51">
        <v>-1.99108950863674</v>
      </c>
      <c r="O82" s="51" t="str">
        <f t="shared" si="195"/>
        <v>  (16.0)</v>
      </c>
      <c r="Q82" s="50" t="s">
        <v>48</v>
      </c>
      <c r="R82" s="51">
        <v>-1.13491714786573</v>
      </c>
      <c r="S82" s="51">
        <v>-1.13067555841322</v>
      </c>
      <c r="T82" s="51">
        <v>-1.21917751551601</v>
      </c>
      <c r="U82" s="51">
        <v>-1.332317</v>
      </c>
      <c r="V82" s="51">
        <v>-1.44656476</v>
      </c>
      <c r="W82" s="51">
        <v>-1.4452193100000001</v>
      </c>
      <c r="X82" s="51">
        <v>-1.42209526</v>
      </c>
      <c r="Y82" s="51">
        <v>-1.41962098</v>
      </c>
      <c r="Z82" s="51">
        <v>-1.30801666059158</v>
      </c>
      <c r="AA82" s="51">
        <v>-1.53064848</v>
      </c>
      <c r="AB82" s="51">
        <v>-1.3959593799999999</v>
      </c>
      <c r="AC82" s="51">
        <v>-1.66650901</v>
      </c>
      <c r="AD82" s="51" t="str">
        <f t="shared" si="196"/>
        <v>  (16.5)</v>
      </c>
      <c r="AF82" s="50" t="s">
        <v>48</v>
      </c>
      <c r="AG82" s="51">
        <v>-0.87228104586144</v>
      </c>
      <c r="AH82" s="110">
        <v>-0.827618674649589</v>
      </c>
      <c r="AI82" s="51">
        <v>-1.054149284110257</v>
      </c>
      <c r="AJ82" s="51">
        <v>-1.0140270646688787</v>
      </c>
      <c r="AK82" s="51">
        <v>-1.0190666312249974</v>
      </c>
      <c r="AL82" s="110">
        <v>-1.11694419648828</v>
      </c>
      <c r="AM82" s="51">
        <v>-1.0424764394999388</v>
      </c>
      <c r="AN82" s="51">
        <v>-1.0326597497167118</v>
      </c>
      <c r="AO82" s="51">
        <v>-1.093701175860189</v>
      </c>
      <c r="AP82" s="51">
        <v>-1.0755674399653203</v>
      </c>
      <c r="AQ82" s="51">
        <v>-1.124818586305512</v>
      </c>
      <c r="AR82" s="51">
        <v>-1.2247203655480448</v>
      </c>
      <c r="AS82" s="51" t="str">
        <f t="shared" si="193"/>
        <v>  (12.5)</v>
      </c>
      <c r="AU82" s="50" t="s">
        <v>48</v>
      </c>
      <c r="AV82" s="51" t="str">
        <f>VLOOKUP($AU82,#REF!,'Mkt United + Troader 26'!AV$64,0)</f>
        <v>#REF!</v>
      </c>
      <c r="AW82" s="51" t="str">
        <f>VLOOKUP($AU82,#REF!,'Mkt United + Troader 26'!AW$64,0)</f>
        <v>#REF!</v>
      </c>
      <c r="AX82" s="51" t="str">
        <f>VLOOKUP($AU82,#REF!,'Mkt United + Troader 26'!AX$64,0)</f>
        <v>#REF!</v>
      </c>
      <c r="AY82" s="51" t="str">
        <f>VLOOKUP($AU82,#REF!,'Mkt United + Troader 26'!AY$64,0)</f>
        <v>#REF!</v>
      </c>
      <c r="AZ82" s="51">
        <v>-1.0190666312249974</v>
      </c>
      <c r="BA82" s="51">
        <v>-1.11694419648828</v>
      </c>
      <c r="BB82" s="51">
        <v>-1.0424764394999388</v>
      </c>
      <c r="BC82" s="51">
        <v>-1.0326597497167118</v>
      </c>
      <c r="BD82" s="51">
        <v>-1.093701175860189</v>
      </c>
      <c r="BE82" s="51">
        <v>-1.0755674399653203</v>
      </c>
      <c r="BF82" s="51">
        <v>-1.124818586305512</v>
      </c>
      <c r="BG82" s="51">
        <v>-1.2247203655480448</v>
      </c>
      <c r="BH82" s="51" t="str">
        <f t="shared" si="194"/>
        <v>#REF!</v>
      </c>
    </row>
    <row r="83" ht="15.75" customHeight="1">
      <c r="B83" s="59" t="s">
        <v>49</v>
      </c>
      <c r="C83" s="60" t="str">
        <f t="shared" ref="C83:O83" si="197">SUM(C74:C82)</f>
        <v>  (3.8)</v>
      </c>
      <c r="D83" s="60" t="str">
        <f t="shared" si="197"/>
        <v>  (3.5)</v>
      </c>
      <c r="E83" s="60" t="str">
        <f t="shared" si="197"/>
        <v>  (4.0)</v>
      </c>
      <c r="F83" s="60" t="str">
        <f t="shared" si="197"/>
        <v>  (4.1)</v>
      </c>
      <c r="G83" s="60" t="str">
        <f t="shared" si="197"/>
        <v>  (3.8)</v>
      </c>
      <c r="H83" s="60" t="str">
        <f t="shared" si="197"/>
        <v>  (4.1)</v>
      </c>
      <c r="I83" s="60" t="str">
        <f t="shared" si="197"/>
        <v>  (4.4)</v>
      </c>
      <c r="J83" s="60" t="str">
        <f t="shared" si="197"/>
        <v>  (4.0)</v>
      </c>
      <c r="K83" s="60" t="str">
        <f t="shared" si="197"/>
        <v>  (4.9)</v>
      </c>
      <c r="L83" s="60" t="str">
        <f t="shared" si="197"/>
        <v>  (4.7)</v>
      </c>
      <c r="M83" s="60" t="str">
        <f t="shared" si="197"/>
        <v>  (5.2)</v>
      </c>
      <c r="N83" s="60" t="str">
        <f t="shared" si="197"/>
        <v>  (5.6)</v>
      </c>
      <c r="O83" s="60" t="str">
        <f t="shared" si="197"/>
        <v>  (52.0)</v>
      </c>
      <c r="Q83" s="59" t="s">
        <v>49</v>
      </c>
      <c r="R83" s="60" t="str">
        <f t="shared" ref="R83:AD83" si="198">SUM(R74:R82)</f>
        <v>  (4.7)</v>
      </c>
      <c r="S83" s="60" t="str">
        <f t="shared" si="198"/>
        <v>  (4.5)</v>
      </c>
      <c r="T83" s="60" t="str">
        <f t="shared" si="198"/>
        <v>  (4.6)</v>
      </c>
      <c r="U83" s="60" t="str">
        <f t="shared" si="198"/>
        <v>  (4.9)</v>
      </c>
      <c r="V83" s="60" t="str">
        <f t="shared" si="198"/>
        <v>  (4.8)</v>
      </c>
      <c r="W83" s="60" t="str">
        <f t="shared" si="198"/>
        <v>  (5.1)</v>
      </c>
      <c r="X83" s="60" t="str">
        <f t="shared" si="198"/>
        <v>  (4.9)</v>
      </c>
      <c r="Y83" s="60" t="str">
        <f t="shared" si="198"/>
        <v>  (4.9)</v>
      </c>
      <c r="Z83" s="60" t="str">
        <f t="shared" si="198"/>
        <v>  (4.4)</v>
      </c>
      <c r="AA83" s="60" t="str">
        <f t="shared" si="198"/>
        <v>  (5.6)</v>
      </c>
      <c r="AB83" s="60" t="str">
        <f t="shared" si="198"/>
        <v>  (3.9)</v>
      </c>
      <c r="AC83" s="60" t="str">
        <f t="shared" si="198"/>
        <v>  (4.2)</v>
      </c>
      <c r="AD83" s="60" t="str">
        <f t="shared" si="198"/>
        <v>  (56.5)</v>
      </c>
      <c r="AF83" s="59" t="s">
        <v>49</v>
      </c>
      <c r="AG83" s="60" t="str">
        <f t="shared" ref="AG83:AS83" si="199">SUM(AG74:AG82)</f>
        <v>  (2.6)</v>
      </c>
      <c r="AH83" s="60" t="str">
        <f t="shared" si="199"/>
        <v>  (2.1)</v>
      </c>
      <c r="AI83" s="60" t="str">
        <f t="shared" si="199"/>
        <v>  (2.4)</v>
      </c>
      <c r="AJ83" s="60" t="str">
        <f t="shared" si="199"/>
        <v>  (2.2)</v>
      </c>
      <c r="AK83" s="60" t="str">
        <f t="shared" si="199"/>
        <v>  (2.2)</v>
      </c>
      <c r="AL83" s="60" t="str">
        <f t="shared" si="199"/>
        <v>  (2.4)</v>
      </c>
      <c r="AM83" s="60" t="str">
        <f t="shared" si="199"/>
        <v>  (2.4)</v>
      </c>
      <c r="AN83" s="60" t="str">
        <f t="shared" si="199"/>
        <v>  (2.3)</v>
      </c>
      <c r="AO83" s="60" t="str">
        <f t="shared" si="199"/>
        <v>  (2.5)</v>
      </c>
      <c r="AP83" s="60" t="str">
        <f t="shared" si="199"/>
        <v>  (2.5)</v>
      </c>
      <c r="AQ83" s="60" t="str">
        <f t="shared" si="199"/>
        <v>  (2.4)</v>
      </c>
      <c r="AR83" s="60" t="str">
        <f t="shared" si="199"/>
        <v>  (2.6)</v>
      </c>
      <c r="AS83" s="60" t="str">
        <f t="shared" si="199"/>
        <v>  (28.6)</v>
      </c>
      <c r="AU83" s="59" t="s">
        <v>49</v>
      </c>
      <c r="AV83" s="60" t="str">
        <f t="shared" ref="AV83:BH83" si="200">SUM(AV74:AV82)</f>
        <v>#REF!</v>
      </c>
      <c r="AW83" s="60" t="str">
        <f t="shared" si="200"/>
        <v>#REF!</v>
      </c>
      <c r="AX83" s="60" t="str">
        <f t="shared" si="200"/>
        <v>#REF!</v>
      </c>
      <c r="AY83" s="60" t="str">
        <f t="shared" si="200"/>
        <v>#REF!</v>
      </c>
      <c r="AZ83" s="60" t="str">
        <f t="shared" si="200"/>
        <v>#ERROR!</v>
      </c>
      <c r="BA83" s="60" t="str">
        <f t="shared" si="200"/>
        <v>#ERROR!</v>
      </c>
      <c r="BB83" s="60" t="str">
        <f t="shared" si="200"/>
        <v>#ERROR!</v>
      </c>
      <c r="BC83" s="60" t="str">
        <f t="shared" si="200"/>
        <v>#ERROR!</v>
      </c>
      <c r="BD83" s="60" t="str">
        <f t="shared" si="200"/>
        <v>#ERROR!</v>
      </c>
      <c r="BE83" s="60" t="str">
        <f t="shared" si="200"/>
        <v>#ERROR!</v>
      </c>
      <c r="BF83" s="60" t="str">
        <f t="shared" si="200"/>
        <v>#ERROR!</v>
      </c>
      <c r="BG83" s="60" t="str">
        <f t="shared" si="200"/>
        <v>#ERROR!</v>
      </c>
      <c r="BH83" s="60" t="str">
        <f t="shared" si="200"/>
        <v>#REF!</v>
      </c>
    </row>
    <row r="84" ht="15.75" customHeight="1">
      <c r="B84" s="95" t="s">
        <v>51</v>
      </c>
      <c r="C84" s="96" t="str">
        <f t="shared" ref="C84:O84" si="201">C73+C83</f>
        <v>  (0.3)</v>
      </c>
      <c r="D84" s="96" t="str">
        <f t="shared" si="201"/>
        <v>  0.6 </v>
      </c>
      <c r="E84" s="96" t="str">
        <f t="shared" si="201"/>
        <v>  0.8 </v>
      </c>
      <c r="F84" s="96" t="str">
        <f t="shared" si="201"/>
        <v>  2.1 </v>
      </c>
      <c r="G84" s="96" t="str">
        <f t="shared" si="201"/>
        <v>  1.8 </v>
      </c>
      <c r="H84" s="96" t="str">
        <f t="shared" si="201"/>
        <v>  1.1 </v>
      </c>
      <c r="I84" s="96" t="str">
        <f t="shared" si="201"/>
        <v>  2.1 </v>
      </c>
      <c r="J84" s="96" t="str">
        <f t="shared" si="201"/>
        <v>  1.7 </v>
      </c>
      <c r="K84" s="96" t="str">
        <f t="shared" si="201"/>
        <v>  2.1 </v>
      </c>
      <c r="L84" s="96" t="str">
        <f t="shared" si="201"/>
        <v>  3.5 </v>
      </c>
      <c r="M84" s="96" t="str">
        <f t="shared" si="201"/>
        <v>  2.3 </v>
      </c>
      <c r="N84" s="96" t="str">
        <f t="shared" si="201"/>
        <v>  3.6 </v>
      </c>
      <c r="O84" s="96" t="str">
        <f t="shared" si="201"/>
        <v>  21.3 </v>
      </c>
      <c r="Q84" s="95" t="s">
        <v>51</v>
      </c>
      <c r="R84" s="96" t="str">
        <f t="shared" ref="R84:AD84" si="202">R73+R83</f>
        <v>  (0.1)</v>
      </c>
      <c r="S84" s="96" t="str">
        <f t="shared" si="202"/>
        <v>  5.0 </v>
      </c>
      <c r="T84" s="96" t="str">
        <f t="shared" si="202"/>
        <v>  1.9 </v>
      </c>
      <c r="U84" s="96" t="str">
        <f t="shared" si="202"/>
        <v>  4.6 </v>
      </c>
      <c r="V84" s="96" t="str">
        <f t="shared" si="202"/>
        <v>  1.5 </v>
      </c>
      <c r="W84" s="96" t="str">
        <f t="shared" si="202"/>
        <v>  2.3 </v>
      </c>
      <c r="X84" s="96" t="str">
        <f t="shared" si="202"/>
        <v>  5.8 </v>
      </c>
      <c r="Y84" s="96" t="str">
        <f t="shared" si="202"/>
        <v>  3.0 </v>
      </c>
      <c r="Z84" s="96" t="str">
        <f t="shared" si="202"/>
        <v>  2.8 </v>
      </c>
      <c r="AA84" s="96" t="str">
        <f t="shared" si="202"/>
        <v>  0.4 </v>
      </c>
      <c r="AB84" s="96" t="str">
        <f t="shared" si="202"/>
        <v>  1.4 </v>
      </c>
      <c r="AC84" s="96" t="str">
        <f t="shared" si="202"/>
        <v>  0.3 </v>
      </c>
      <c r="AD84" s="96" t="str">
        <f t="shared" si="202"/>
        <v>  28.9 </v>
      </c>
      <c r="AF84" s="95" t="s">
        <v>51</v>
      </c>
      <c r="AG84" s="96" t="str">
        <f t="shared" ref="AG84:AR84" si="203">AG73+AG83</f>
        <v>  0.0 </v>
      </c>
      <c r="AH84" s="96" t="str">
        <f t="shared" si="203"/>
        <v>  0.1 </v>
      </c>
      <c r="AI84" s="96" t="str">
        <f t="shared" si="203"/>
        <v>  0.4 </v>
      </c>
      <c r="AJ84" s="96" t="str">
        <f t="shared" si="203"/>
        <v>  0.1 </v>
      </c>
      <c r="AK84" s="96" t="str">
        <f t="shared" si="203"/>
        <v>  0.1 </v>
      </c>
      <c r="AL84" s="96" t="str">
        <f t="shared" si="203"/>
        <v>  1.5 </v>
      </c>
      <c r="AM84" s="96" t="str">
        <f t="shared" si="203"/>
        <v>  1.1 </v>
      </c>
      <c r="AN84" s="96" t="str">
        <f t="shared" si="203"/>
        <v>  1.3 </v>
      </c>
      <c r="AO84" s="96" t="str">
        <f t="shared" si="203"/>
        <v>  1.6 </v>
      </c>
      <c r="AP84" s="96" t="str">
        <f t="shared" si="203"/>
        <v>  1.4 </v>
      </c>
      <c r="AQ84" s="96" t="str">
        <f t="shared" si="203"/>
        <v>  1.5 </v>
      </c>
      <c r="AR84" s="96" t="str">
        <f t="shared" si="203"/>
        <v>  1.4 </v>
      </c>
      <c r="AS84" s="96" t="str">
        <f>+SUM(AG84:AR84)</f>
        <v>  10.4 </v>
      </c>
      <c r="AU84" s="77" t="s">
        <v>51</v>
      </c>
      <c r="AV84" s="78" t="str">
        <f t="shared" ref="AV84:BG84" si="204">AV73+AV83</f>
        <v>#REF!</v>
      </c>
      <c r="AW84" s="78" t="str">
        <f t="shared" si="204"/>
        <v>#REF!</v>
      </c>
      <c r="AX84" s="78" t="str">
        <f t="shared" si="204"/>
        <v>#REF!</v>
      </c>
      <c r="AY84" s="79" t="str">
        <f t="shared" si="204"/>
        <v>#REF!</v>
      </c>
      <c r="AZ84" s="79" t="str">
        <f t="shared" si="204"/>
        <v>#ERROR!</v>
      </c>
      <c r="BA84" s="79" t="str">
        <f t="shared" si="204"/>
        <v>#ERROR!</v>
      </c>
      <c r="BB84" s="79" t="str">
        <f t="shared" si="204"/>
        <v>#ERROR!</v>
      </c>
      <c r="BC84" s="79" t="str">
        <f t="shared" si="204"/>
        <v>#ERROR!</v>
      </c>
      <c r="BD84" s="79" t="str">
        <f t="shared" si="204"/>
        <v>#ERROR!</v>
      </c>
      <c r="BE84" s="79" t="str">
        <f t="shared" si="204"/>
        <v>#ERROR!</v>
      </c>
      <c r="BF84" s="79" t="str">
        <f t="shared" si="204"/>
        <v>#ERROR!</v>
      </c>
      <c r="BG84" s="79" t="str">
        <f t="shared" si="204"/>
        <v>#ERROR!</v>
      </c>
      <c r="BH84" s="79" t="str">
        <f>+SUM(AV84:BG84)</f>
        <v>#REF!</v>
      </c>
    </row>
    <row r="85" ht="15.75" customHeight="1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AF85" s="1"/>
      <c r="AG85" s="1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U85" s="1"/>
      <c r="AV85" s="1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</row>
    <row r="86" ht="15.75" customHeight="1">
      <c r="B86" s="59" t="s">
        <v>52</v>
      </c>
      <c r="C86" s="88" t="str">
        <f t="shared" ref="C86:O86" si="205">C84/C68</f>
        <v>(1%)</v>
      </c>
      <c r="D86" s="88" t="str">
        <f t="shared" si="205"/>
        <v>3%</v>
      </c>
      <c r="E86" s="88" t="str">
        <f t="shared" si="205"/>
        <v>3%</v>
      </c>
      <c r="F86" s="88" t="str">
        <f t="shared" si="205"/>
        <v>7%</v>
      </c>
      <c r="G86" s="88" t="str">
        <f t="shared" si="205"/>
        <v>6%</v>
      </c>
      <c r="H86" s="88" t="str">
        <f t="shared" si="205"/>
        <v>4%</v>
      </c>
      <c r="I86" s="88" t="str">
        <f t="shared" si="205"/>
        <v>6%</v>
      </c>
      <c r="J86" s="88" t="str">
        <f t="shared" si="205"/>
        <v>6%</v>
      </c>
      <c r="K86" s="88" t="str">
        <f t="shared" si="205"/>
        <v>7%</v>
      </c>
      <c r="L86" s="88" t="str">
        <f t="shared" si="205"/>
        <v>9%</v>
      </c>
      <c r="M86" s="88" t="str">
        <f t="shared" si="205"/>
        <v>5%</v>
      </c>
      <c r="N86" s="88" t="str">
        <f t="shared" si="205"/>
        <v>9%</v>
      </c>
      <c r="O86" s="88" t="str">
        <f t="shared" si="205"/>
        <v>6%</v>
      </c>
      <c r="Q86" s="59" t="s">
        <v>52</v>
      </c>
      <c r="R86" s="88" t="str">
        <f t="shared" ref="R86:AD86" si="206">R84/R68</f>
        <v>(0%)</v>
      </c>
      <c r="S86" s="88" t="str">
        <f t="shared" si="206"/>
        <v>16%</v>
      </c>
      <c r="T86" s="88" t="str">
        <f t="shared" si="206"/>
        <v>6%</v>
      </c>
      <c r="U86" s="88" t="str">
        <f t="shared" si="206"/>
        <v>12%</v>
      </c>
      <c r="V86" s="88" t="str">
        <f t="shared" si="206"/>
        <v>5%</v>
      </c>
      <c r="W86" s="88" t="str">
        <f t="shared" si="206"/>
        <v>7%</v>
      </c>
      <c r="X86" s="88" t="str">
        <f t="shared" si="206"/>
        <v>13%</v>
      </c>
      <c r="Y86" s="88" t="str">
        <f t="shared" si="206"/>
        <v>8%</v>
      </c>
      <c r="Z86" s="88" t="str">
        <f t="shared" si="206"/>
        <v>7%</v>
      </c>
      <c r="AA86" s="88" t="str">
        <f t="shared" si="206"/>
        <v>2%</v>
      </c>
      <c r="AB86" s="88" t="str">
        <f t="shared" si="206"/>
        <v>20%</v>
      </c>
      <c r="AC86" s="88" t="str">
        <f t="shared" si="206"/>
        <v>6%</v>
      </c>
      <c r="AD86" s="88" t="str">
        <f t="shared" si="206"/>
        <v>8%</v>
      </c>
      <c r="AF86" s="59" t="s">
        <v>52</v>
      </c>
      <c r="AG86" s="88" t="str">
        <f t="shared" ref="AG86:AS86" si="207">AG84/AG68</f>
        <v>0%</v>
      </c>
      <c r="AH86" s="88" t="str">
        <f t="shared" si="207"/>
        <v>2%</v>
      </c>
      <c r="AI86" s="88" t="str">
        <f t="shared" si="207"/>
        <v>9%</v>
      </c>
      <c r="AJ86" s="88" t="str">
        <f t="shared" si="207"/>
        <v>2%</v>
      </c>
      <c r="AK86" s="88" t="str">
        <f t="shared" si="207"/>
        <v>3%</v>
      </c>
      <c r="AL86" s="88" t="str">
        <f t="shared" si="207"/>
        <v>26%</v>
      </c>
      <c r="AM86" s="88" t="str">
        <f t="shared" si="207"/>
        <v>22%</v>
      </c>
      <c r="AN86" s="88" t="str">
        <f t="shared" si="207"/>
        <v>25%</v>
      </c>
      <c r="AO86" s="88" t="str">
        <f t="shared" si="207"/>
        <v>27%</v>
      </c>
      <c r="AP86" s="88" t="str">
        <f t="shared" si="207"/>
        <v>25%</v>
      </c>
      <c r="AQ86" s="88" t="str">
        <f t="shared" si="207"/>
        <v>27%</v>
      </c>
      <c r="AR86" s="88" t="str">
        <f t="shared" si="207"/>
        <v>24%</v>
      </c>
      <c r="AS86" s="111" t="str">
        <f t="shared" si="207"/>
        <v>17.7%</v>
      </c>
      <c r="AU86" s="59" t="s">
        <v>52</v>
      </c>
      <c r="AV86" s="88" t="str">
        <f t="shared" ref="AV86:BH86" si="208">AV84/AV68</f>
        <v>#REF!</v>
      </c>
      <c r="AW86" s="88" t="str">
        <f t="shared" si="208"/>
        <v>#REF!</v>
      </c>
      <c r="AX86" s="88" t="str">
        <f t="shared" si="208"/>
        <v>#REF!</v>
      </c>
      <c r="AY86" s="88" t="str">
        <f t="shared" si="208"/>
        <v>#REF!</v>
      </c>
      <c r="AZ86" s="88" t="str">
        <f t="shared" si="208"/>
        <v>#ERROR!</v>
      </c>
      <c r="BA86" s="88" t="str">
        <f t="shared" si="208"/>
        <v>#ERROR!</v>
      </c>
      <c r="BB86" s="88" t="str">
        <f t="shared" si="208"/>
        <v>#ERROR!</v>
      </c>
      <c r="BC86" s="88" t="str">
        <f t="shared" si="208"/>
        <v>#ERROR!</v>
      </c>
      <c r="BD86" s="88" t="str">
        <f t="shared" si="208"/>
        <v>#ERROR!</v>
      </c>
      <c r="BE86" s="88" t="str">
        <f t="shared" si="208"/>
        <v>#ERROR!</v>
      </c>
      <c r="BF86" s="88" t="str">
        <f t="shared" si="208"/>
        <v>#ERROR!</v>
      </c>
      <c r="BG86" s="88" t="str">
        <f t="shared" si="208"/>
        <v>#ERROR!</v>
      </c>
      <c r="BH86" s="111" t="str">
        <f t="shared" si="208"/>
        <v>#REF!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7">
    <mergeCell ref="BK3:BL4"/>
    <mergeCell ref="BM3:BN4"/>
    <mergeCell ref="BO3:BP4"/>
    <mergeCell ref="BQ3:BQ4"/>
    <mergeCell ref="BR3:BU3"/>
    <mergeCell ref="BR4:BS4"/>
    <mergeCell ref="BT4:BU4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4.43" defaultRowHeight="15.0" outlineLevelCol="1"/>
  <cols>
    <col customWidth="1" min="1" max="1" width="5.86"/>
    <col customWidth="1" min="2" max="2" width="31.86"/>
    <col customWidth="1" min="3" max="3" width="12.43" outlineLevel="1"/>
    <col customWidth="1" min="4" max="14" width="10.86" outlineLevel="1"/>
    <col customWidth="1" min="15" max="15" width="13.14"/>
    <col customWidth="1" min="16" max="16" width="15.14"/>
    <col customWidth="1" min="17" max="23" width="11.43"/>
    <col customWidth="1" min="24" max="24" width="26.29"/>
    <col customWidth="1" min="25" max="28" width="11.43"/>
  </cols>
  <sheetData>
    <row r="1">
      <c r="B1" s="2" t="s">
        <v>78</v>
      </c>
    </row>
    <row r="2" ht="13.5" customHeight="1"/>
    <row r="3">
      <c r="R3" s="27" t="s">
        <v>21</v>
      </c>
      <c r="S3" s="28"/>
      <c r="T3" s="27" t="s">
        <v>22</v>
      </c>
      <c r="U3" s="28"/>
      <c r="V3" s="29" t="s">
        <v>23</v>
      </c>
      <c r="W3" s="28"/>
      <c r="X3" s="30" t="s">
        <v>24</v>
      </c>
      <c r="Y3" s="31" t="s">
        <v>25</v>
      </c>
      <c r="Z3" s="32"/>
      <c r="AA3" s="32"/>
      <c r="AB3" s="33"/>
    </row>
    <row r="4" ht="14.25" customHeight="1">
      <c r="R4" s="35"/>
      <c r="S4" s="36"/>
      <c r="T4" s="35"/>
      <c r="U4" s="36"/>
      <c r="V4" s="37"/>
      <c r="W4" s="38"/>
      <c r="X4" s="39"/>
      <c r="Y4" s="27" t="s">
        <v>26</v>
      </c>
      <c r="Z4" s="28"/>
      <c r="AA4" s="27" t="s">
        <v>27</v>
      </c>
      <c r="AB4" s="28"/>
    </row>
    <row r="5">
      <c r="A5" s="40"/>
      <c r="B5" s="41" t="s">
        <v>28</v>
      </c>
      <c r="C5" s="42">
        <v>46023.0</v>
      </c>
      <c r="D5" s="42">
        <v>46054.0</v>
      </c>
      <c r="E5" s="42">
        <v>46082.0</v>
      </c>
      <c r="F5" s="42">
        <v>46113.0</v>
      </c>
      <c r="G5" s="42">
        <v>46143.0</v>
      </c>
      <c r="H5" s="43">
        <v>46174.0</v>
      </c>
      <c r="I5" s="43">
        <v>46204.0</v>
      </c>
      <c r="J5" s="43">
        <v>46235.0</v>
      </c>
      <c r="K5" s="43">
        <v>46266.0</v>
      </c>
      <c r="L5" s="43">
        <v>46296.0</v>
      </c>
      <c r="M5" s="43">
        <v>46327.0</v>
      </c>
      <c r="N5" s="43">
        <v>46357.0</v>
      </c>
      <c r="O5" s="44" t="s">
        <v>19</v>
      </c>
      <c r="R5" s="112" t="s">
        <v>29</v>
      </c>
      <c r="S5" s="113" t="s">
        <v>4</v>
      </c>
      <c r="T5" s="45" t="s">
        <v>29</v>
      </c>
      <c r="U5" s="46" t="s">
        <v>4</v>
      </c>
      <c r="V5" s="47" t="s">
        <v>29</v>
      </c>
      <c r="W5" s="48" t="s">
        <v>4</v>
      </c>
      <c r="X5" s="49"/>
      <c r="Y5" s="45" t="s">
        <v>29</v>
      </c>
      <c r="Z5" s="46" t="s">
        <v>4</v>
      </c>
      <c r="AA5" s="45" t="s">
        <v>29</v>
      </c>
      <c r="AB5" s="46" t="s">
        <v>4</v>
      </c>
    </row>
    <row r="6">
      <c r="B6" s="50" t="s">
        <v>30</v>
      </c>
      <c r="C6" s="51">
        <v>0.0</v>
      </c>
      <c r="D6" s="51">
        <v>0.0</v>
      </c>
      <c r="E6" s="51">
        <v>0.0</v>
      </c>
      <c r="F6" s="51">
        <v>0.0</v>
      </c>
      <c r="G6" s="51">
        <v>0.0</v>
      </c>
      <c r="H6" s="51">
        <v>0.0</v>
      </c>
      <c r="I6" s="51">
        <v>0.0</v>
      </c>
      <c r="J6" s="51">
        <v>0.0</v>
      </c>
      <c r="K6" s="51">
        <v>0.0</v>
      </c>
      <c r="L6" s="51">
        <v>0.0</v>
      </c>
      <c r="M6" s="51">
        <v>0.0</v>
      </c>
      <c r="N6" s="51">
        <v>0.0</v>
      </c>
      <c r="O6" s="51" t="str">
        <f t="shared" ref="O6:O7" si="1">+SUM(C6:N6)</f>
        <v>  -   </v>
      </c>
      <c r="R6" s="114"/>
      <c r="S6" s="115" t="str">
        <f t="shared" ref="S6:S9" si="2">IF((+IFERROR((R6/$R$8),0))&lt;=-200%,"-200%",(+IFERROR((R6/$R$8),0)))</f>
        <v>0%</v>
      </c>
      <c r="T6" s="116" t="str">
        <f t="shared" ref="T6:T7" si="3">VLOOKUP(X6,$B$27:$O$43,14,0)</f>
        <v>  -   </v>
      </c>
      <c r="U6" s="54" t="str">
        <f t="shared" ref="U6:U24" si="4">IF((+IFERROR((T6/$T$8),0))&lt;=-200%,"-200%",(+IFERROR((T6/$T$8),0)))</f>
        <v>0%</v>
      </c>
      <c r="V6" s="55" t="str">
        <f t="shared" ref="V6:V7" si="5">VLOOKUP(X6,$B$5:$O$23,14,0)</f>
        <v>  -   </v>
      </c>
      <c r="W6" s="56" t="str">
        <f t="shared" ref="W6:W24" si="6">IF((+IFERROR((V6/$V$8),0))&lt;=-200%,"-200%",(+IFERROR((V6/$V$8),0)))</f>
        <v>0%</v>
      </c>
      <c r="X6" s="57" t="s">
        <v>30</v>
      </c>
      <c r="Y6" s="58" t="str">
        <f t="shared" ref="Y6:Y24" si="7">+V6-T6</f>
        <v>  -   </v>
      </c>
      <c r="Z6" s="54" t="str">
        <f t="shared" ref="Z6:Z16" si="8">IF((IFERROR(IF(ABS(Y6/T6)&gt;=9.99,IF(Y6&gt;0,9.99,-9.99),Y6/ABS(T6)),IF(Y6=0,0,Y6/ABS(Y6))))&lt;=-200%,"-200%",(IFERROR(IF(ABS(Y6/T6)&gt;=9.99,IF(Y6&gt;0,9.99,-9.99),Y6/ABS(T6)),IF(Y6=0,0,Y6/ABS(Y6)))))</f>
        <v>0%</v>
      </c>
      <c r="AA6" s="58" t="str">
        <f t="shared" ref="AA6:AA24" si="9">V6-R6</f>
        <v>  -   </v>
      </c>
      <c r="AB6" s="54" t="str">
        <f t="shared" ref="AB6:AB16" si="10">IF((IFERROR(IF(ABS(AA6/R6)&gt;=9.99,IF(AA6&gt;0,9.99,-9.99),AA6/ABS(R6)),IF(AA6=0,0,AA6/ABS(AA6))))&lt;=-200%,"(200%)",(IFERROR(IF(ABS(AA6/R6)&gt;=9.99,IF(AA6&gt;0,9.99,-9.99),AA6/ABS(R6)),IF(AA6=0,0,AA6/ABS(AA6)))))</f>
        <v>0%</v>
      </c>
    </row>
    <row r="7">
      <c r="B7" s="50" t="s">
        <v>31</v>
      </c>
      <c r="C7" s="51">
        <v>0.0</v>
      </c>
      <c r="D7" s="51">
        <v>0.0</v>
      </c>
      <c r="E7" s="51">
        <v>0.0</v>
      </c>
      <c r="F7" s="51">
        <v>0.0</v>
      </c>
      <c r="G7" s="51">
        <v>0.0</v>
      </c>
      <c r="H7" s="51">
        <v>0.0</v>
      </c>
      <c r="I7" s="51">
        <v>0.0</v>
      </c>
      <c r="J7" s="51">
        <v>0.0</v>
      </c>
      <c r="K7" s="51">
        <v>0.0</v>
      </c>
      <c r="L7" s="51">
        <v>0.0</v>
      </c>
      <c r="M7" s="51">
        <v>0.0</v>
      </c>
      <c r="N7" s="51">
        <v>0.0</v>
      </c>
      <c r="O7" s="51" t="str">
        <f t="shared" si="1"/>
        <v>  -   </v>
      </c>
      <c r="R7" s="53"/>
      <c r="S7" s="54" t="str">
        <f t="shared" si="2"/>
        <v>0%</v>
      </c>
      <c r="T7" s="116" t="str">
        <f t="shared" si="3"/>
        <v>  -   </v>
      </c>
      <c r="U7" s="54" t="str">
        <f t="shared" si="4"/>
        <v>0%</v>
      </c>
      <c r="V7" s="55" t="str">
        <f t="shared" si="5"/>
        <v>  -   </v>
      </c>
      <c r="W7" s="56" t="str">
        <f t="shared" si="6"/>
        <v>0%</v>
      </c>
      <c r="X7" s="57" t="s">
        <v>31</v>
      </c>
      <c r="Y7" s="58" t="str">
        <f t="shared" si="7"/>
        <v>  -   </v>
      </c>
      <c r="Z7" s="54" t="str">
        <f t="shared" si="8"/>
        <v>0%</v>
      </c>
      <c r="AA7" s="58" t="str">
        <f t="shared" si="9"/>
        <v>  -   </v>
      </c>
      <c r="AB7" s="54" t="str">
        <f t="shared" si="10"/>
        <v>0%</v>
      </c>
    </row>
    <row r="8">
      <c r="B8" s="59" t="s">
        <v>32</v>
      </c>
      <c r="C8" s="60" t="str">
        <f t="shared" ref="C8:D8" si="11">C6+C7</f>
        <v>  -   </v>
      </c>
      <c r="D8" s="60" t="str">
        <f t="shared" si="11"/>
        <v>  -   </v>
      </c>
      <c r="E8" s="60" t="str">
        <f t="shared" ref="E8:O8" si="12">E7+E6</f>
        <v>  -   </v>
      </c>
      <c r="F8" s="60" t="str">
        <f t="shared" si="12"/>
        <v>  -   </v>
      </c>
      <c r="G8" s="60" t="str">
        <f t="shared" si="12"/>
        <v>  -   </v>
      </c>
      <c r="H8" s="60" t="str">
        <f t="shared" si="12"/>
        <v>  -   </v>
      </c>
      <c r="I8" s="60" t="str">
        <f t="shared" si="12"/>
        <v>  -   </v>
      </c>
      <c r="J8" s="60" t="str">
        <f t="shared" si="12"/>
        <v>  -   </v>
      </c>
      <c r="K8" s="60" t="str">
        <f t="shared" si="12"/>
        <v>  -   </v>
      </c>
      <c r="L8" s="60" t="str">
        <f t="shared" si="12"/>
        <v>  -   </v>
      </c>
      <c r="M8" s="60" t="str">
        <f t="shared" si="12"/>
        <v>  -   </v>
      </c>
      <c r="N8" s="60" t="str">
        <f t="shared" si="12"/>
        <v>  -   </v>
      </c>
      <c r="O8" s="60" t="str">
        <f t="shared" si="12"/>
        <v>  -   </v>
      </c>
      <c r="R8" s="61" t="str">
        <f>SUM(R6:R7)</f>
        <v>  -   </v>
      </c>
      <c r="S8" s="62" t="str">
        <f t="shared" si="2"/>
        <v>0%</v>
      </c>
      <c r="T8" s="117" t="str">
        <f>SUM(T6:T7)</f>
        <v>  -   </v>
      </c>
      <c r="U8" s="62" t="str">
        <f t="shared" si="4"/>
        <v>0%</v>
      </c>
      <c r="V8" s="63" t="str">
        <f>SUM(V6:V7)</f>
        <v>  -   </v>
      </c>
      <c r="W8" s="64" t="str">
        <f t="shared" si="6"/>
        <v>0%</v>
      </c>
      <c r="X8" s="65" t="s">
        <v>32</v>
      </c>
      <c r="Y8" s="66" t="str">
        <f t="shared" si="7"/>
        <v>  -   </v>
      </c>
      <c r="Z8" s="62" t="str">
        <f t="shared" si="8"/>
        <v>0%</v>
      </c>
      <c r="AA8" s="66" t="str">
        <f t="shared" si="9"/>
        <v>  -   </v>
      </c>
      <c r="AB8" s="62" t="str">
        <f t="shared" si="10"/>
        <v>0%</v>
      </c>
    </row>
    <row r="9">
      <c r="B9" s="68" t="s">
        <v>63</v>
      </c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 t="str">
        <f t="shared" ref="O9:O11" si="13">+SUM(C9:N9)</f>
        <v>  -   </v>
      </c>
      <c r="R9" s="53">
        <v>0.0</v>
      </c>
      <c r="S9" s="54" t="str">
        <f t="shared" si="2"/>
        <v>0%</v>
      </c>
      <c r="T9" s="116" t="str">
        <f t="shared" ref="T9:T11" si="14">VLOOKUP(X9,$B$27:$O$43,14,0)</f>
        <v>  -   </v>
      </c>
      <c r="U9" s="54" t="str">
        <f t="shared" si="4"/>
        <v>0%</v>
      </c>
      <c r="V9" s="55" t="str">
        <f t="shared" ref="V9:V11" si="15">VLOOKUP(X9,$B$5:$O$23,14,0)</f>
        <v>  -   </v>
      </c>
      <c r="W9" s="56" t="str">
        <f t="shared" si="6"/>
        <v>0%</v>
      </c>
      <c r="X9" s="57" t="s">
        <v>63</v>
      </c>
      <c r="Y9" s="58" t="str">
        <f t="shared" si="7"/>
        <v>  -   </v>
      </c>
      <c r="Z9" s="54" t="str">
        <f t="shared" si="8"/>
        <v>0%</v>
      </c>
      <c r="AA9" s="58" t="str">
        <f t="shared" si="9"/>
        <v>  -   </v>
      </c>
      <c r="AB9" s="54" t="str">
        <f t="shared" si="10"/>
        <v>0%</v>
      </c>
    </row>
    <row r="10">
      <c r="B10" s="68" t="s">
        <v>79</v>
      </c>
      <c r="C10" s="51">
        <v>-0.03800104</v>
      </c>
      <c r="D10" s="51">
        <v>-0.03925775</v>
      </c>
      <c r="E10" s="51">
        <v>-0.040695629999999997</v>
      </c>
      <c r="F10" s="51">
        <v>-0.033832440000000005</v>
      </c>
      <c r="G10" s="51">
        <v>-0.035524061999999995</v>
      </c>
      <c r="H10" s="51">
        <v>-0.110702</v>
      </c>
      <c r="I10" s="51">
        <v>-0.110702</v>
      </c>
      <c r="J10" s="51">
        <v>-0.110702</v>
      </c>
      <c r="K10" s="51">
        <v>-0.110702</v>
      </c>
      <c r="L10" s="51">
        <v>-0.110702</v>
      </c>
      <c r="M10" s="51">
        <v>-0.110702</v>
      </c>
      <c r="N10" s="51">
        <v>-0.110702</v>
      </c>
      <c r="O10" s="51" t="str">
        <f t="shared" si="13"/>
        <v>  (1.0)</v>
      </c>
      <c r="P10" s="118"/>
      <c r="R10" s="53">
        <v>-0.4697469897999999</v>
      </c>
      <c r="S10" s="54"/>
      <c r="T10" s="116" t="str">
        <f t="shared" si="14"/>
        <v>#REF!</v>
      </c>
      <c r="U10" s="54" t="str">
        <f t="shared" si="4"/>
        <v>0%</v>
      </c>
      <c r="V10" s="55" t="str">
        <f t="shared" si="15"/>
        <v>  (1.0)</v>
      </c>
      <c r="W10" s="56" t="str">
        <f t="shared" si="6"/>
        <v>0%</v>
      </c>
      <c r="X10" s="57" t="s">
        <v>79</v>
      </c>
      <c r="Y10" s="58" t="str">
        <f t="shared" si="7"/>
        <v>#REF!</v>
      </c>
      <c r="Z10" s="54" t="str">
        <f t="shared" si="8"/>
        <v>#REF!</v>
      </c>
      <c r="AA10" s="58" t="str">
        <f t="shared" si="9"/>
        <v>  (0.5)</v>
      </c>
      <c r="AB10" s="54" t="str">
        <f t="shared" si="10"/>
        <v>(105%)</v>
      </c>
    </row>
    <row r="11">
      <c r="B11" s="68" t="s">
        <v>80</v>
      </c>
      <c r="C11" s="51">
        <v>-1.08662683960621</v>
      </c>
      <c r="D11" s="51">
        <v>-0.5113906435</v>
      </c>
      <c r="E11" s="51">
        <v>-0.5190407475000001</v>
      </c>
      <c r="F11" s="51">
        <v>-0.444411606766573</v>
      </c>
      <c r="G11" s="51">
        <v>-0.451210484970136</v>
      </c>
      <c r="H11" s="51">
        <v>-0.4646009483333333</v>
      </c>
      <c r="I11" s="51">
        <v>-0.4646009483333333</v>
      </c>
      <c r="J11" s="51">
        <v>-0.7741310465833334</v>
      </c>
      <c r="K11" s="51">
        <v>-0.4917335465833333</v>
      </c>
      <c r="L11" s="51">
        <v>-0.4917335465833333</v>
      </c>
      <c r="M11" s="51">
        <v>-0.4917335465833333</v>
      </c>
      <c r="N11" s="51">
        <v>-0.4917335465833333</v>
      </c>
      <c r="O11" s="51" t="str">
        <f t="shared" si="13"/>
        <v>  (6.7)</v>
      </c>
      <c r="P11" s="118"/>
      <c r="R11" s="53">
        <v>-4.304418481281665</v>
      </c>
      <c r="S11" s="54" t="str">
        <f t="shared" ref="S11:S17" si="17">IF((+IFERROR((R11/$R$8),0))&lt;=-200%,"-200%",(+IFERROR((R11/$R$8),0)))</f>
        <v>0%</v>
      </c>
      <c r="T11" s="116" t="str">
        <f t="shared" si="14"/>
        <v>#REF!</v>
      </c>
      <c r="U11" s="54" t="str">
        <f t="shared" si="4"/>
        <v>0%</v>
      </c>
      <c r="V11" s="55" t="str">
        <f t="shared" si="15"/>
        <v>  (6.7)</v>
      </c>
      <c r="W11" s="56" t="str">
        <f t="shared" si="6"/>
        <v>0%</v>
      </c>
      <c r="X11" s="57" t="s">
        <v>80</v>
      </c>
      <c r="Y11" s="58" t="str">
        <f t="shared" si="7"/>
        <v>#REF!</v>
      </c>
      <c r="Z11" s="54" t="str">
        <f t="shared" si="8"/>
        <v>#REF!</v>
      </c>
      <c r="AA11" s="58" t="str">
        <f t="shared" si="9"/>
        <v>  (2.4)</v>
      </c>
      <c r="AB11" s="54" t="str">
        <f t="shared" si="10"/>
        <v>(55%)</v>
      </c>
    </row>
    <row r="12">
      <c r="B12" s="119" t="s">
        <v>37</v>
      </c>
      <c r="C12" s="71" t="str">
        <f t="shared" ref="C12:O12" si="16">SUM(C9:C11)</f>
        <v>  (1.1)</v>
      </c>
      <c r="D12" s="71" t="str">
        <f t="shared" si="16"/>
        <v>  (0.6)</v>
      </c>
      <c r="E12" s="71" t="str">
        <f t="shared" si="16"/>
        <v>  (0.6)</v>
      </c>
      <c r="F12" s="71" t="str">
        <f t="shared" si="16"/>
        <v>  (0.5)</v>
      </c>
      <c r="G12" s="71" t="str">
        <f t="shared" si="16"/>
        <v>  (0.5)</v>
      </c>
      <c r="H12" s="71" t="str">
        <f t="shared" si="16"/>
        <v>  (0.6)</v>
      </c>
      <c r="I12" s="71" t="str">
        <f t="shared" si="16"/>
        <v>  (0.6)</v>
      </c>
      <c r="J12" s="71" t="str">
        <f t="shared" si="16"/>
        <v>  (0.9)</v>
      </c>
      <c r="K12" s="71" t="str">
        <f t="shared" si="16"/>
        <v>  (0.6)</v>
      </c>
      <c r="L12" s="71" t="str">
        <f t="shared" si="16"/>
        <v>  (0.6)</v>
      </c>
      <c r="M12" s="71" t="str">
        <f t="shared" si="16"/>
        <v>  (0.6)</v>
      </c>
      <c r="N12" s="71" t="str">
        <f t="shared" si="16"/>
        <v>  (0.6)</v>
      </c>
      <c r="O12" s="71" t="str">
        <f t="shared" si="16"/>
        <v>  (7.6)</v>
      </c>
      <c r="P12" s="107"/>
      <c r="R12" s="120" t="str">
        <f>SUM(R9:R11)</f>
        <v>  (4.8)</v>
      </c>
      <c r="S12" s="121" t="str">
        <f t="shared" si="17"/>
        <v>0%</v>
      </c>
      <c r="T12" s="122" t="str">
        <f>SUM(T9:T11)</f>
        <v>#REF!</v>
      </c>
      <c r="U12" s="62" t="str">
        <f t="shared" si="4"/>
        <v>0%</v>
      </c>
      <c r="V12" s="63" t="str">
        <f>SUM(V9:V11)</f>
        <v>  (7.6)</v>
      </c>
      <c r="W12" s="64" t="str">
        <f t="shared" si="6"/>
        <v>0%</v>
      </c>
      <c r="X12" s="65" t="s">
        <v>37</v>
      </c>
      <c r="Y12" s="66" t="str">
        <f t="shared" si="7"/>
        <v>#REF!</v>
      </c>
      <c r="Z12" s="62" t="str">
        <f t="shared" si="8"/>
        <v>#REF!</v>
      </c>
      <c r="AA12" s="66" t="str">
        <f t="shared" si="9"/>
        <v>  (2.9)</v>
      </c>
      <c r="AB12" s="62" t="str">
        <f t="shared" si="10"/>
        <v>(60%)</v>
      </c>
    </row>
    <row r="13">
      <c r="B13" s="59" t="s">
        <v>38</v>
      </c>
      <c r="C13" s="60" t="str">
        <f t="shared" ref="C13:O13" si="18">C8+C12</f>
        <v>  (1.1)</v>
      </c>
      <c r="D13" s="60" t="str">
        <f t="shared" si="18"/>
        <v>  (0.6)</v>
      </c>
      <c r="E13" s="60" t="str">
        <f t="shared" si="18"/>
        <v>  (0.6)</v>
      </c>
      <c r="F13" s="60" t="str">
        <f t="shared" si="18"/>
        <v>  (0.5)</v>
      </c>
      <c r="G13" s="60" t="str">
        <f t="shared" si="18"/>
        <v>  (0.5)</v>
      </c>
      <c r="H13" s="60" t="str">
        <f t="shared" si="18"/>
        <v>  (0.6)</v>
      </c>
      <c r="I13" s="60" t="str">
        <f t="shared" si="18"/>
        <v>  (0.6)</v>
      </c>
      <c r="J13" s="60" t="str">
        <f t="shared" si="18"/>
        <v>  (0.9)</v>
      </c>
      <c r="K13" s="60" t="str">
        <f t="shared" si="18"/>
        <v>  (0.6)</v>
      </c>
      <c r="L13" s="60" t="str">
        <f t="shared" si="18"/>
        <v>  (0.6)</v>
      </c>
      <c r="M13" s="60" t="str">
        <f t="shared" si="18"/>
        <v>  (0.6)</v>
      </c>
      <c r="N13" s="60" t="str">
        <f t="shared" si="18"/>
        <v>  (0.6)</v>
      </c>
      <c r="O13" s="60" t="str">
        <f t="shared" si="18"/>
        <v>  (7.6)</v>
      </c>
      <c r="P13" s="107"/>
      <c r="R13" s="123" t="str">
        <f>R12+R8</f>
        <v>  (4.8)</v>
      </c>
      <c r="S13" s="124" t="str">
        <f t="shared" si="17"/>
        <v>0%</v>
      </c>
      <c r="T13" s="73" t="str">
        <f>T8+T12</f>
        <v>#REF!</v>
      </c>
      <c r="U13" s="74" t="str">
        <f t="shared" si="4"/>
        <v>0%</v>
      </c>
      <c r="V13" s="73" t="str">
        <f>V8+V12</f>
        <v>  (7.6)</v>
      </c>
      <c r="W13" s="74" t="str">
        <f t="shared" si="6"/>
        <v>0%</v>
      </c>
      <c r="X13" s="75" t="s">
        <v>38</v>
      </c>
      <c r="Y13" s="73" t="str">
        <f t="shared" si="7"/>
        <v>#REF!</v>
      </c>
      <c r="Z13" s="74" t="str">
        <f t="shared" si="8"/>
        <v>#REF!</v>
      </c>
      <c r="AA13" s="73" t="str">
        <f t="shared" si="9"/>
        <v>  (2.9)</v>
      </c>
      <c r="AB13" s="74" t="str">
        <f t="shared" si="10"/>
        <v>(60%)</v>
      </c>
    </row>
    <row r="14">
      <c r="B14" s="68" t="s">
        <v>39</v>
      </c>
      <c r="C14" s="51">
        <v>-11.09736376</v>
      </c>
      <c r="D14" s="51">
        <v>-13.627559380000001</v>
      </c>
      <c r="E14" s="51">
        <v>-11.95516446</v>
      </c>
      <c r="F14" s="51">
        <v>-9.619630710000001</v>
      </c>
      <c r="G14" s="51">
        <v>-10.1589209</v>
      </c>
      <c r="H14" s="51">
        <v>-12.497389668363203</v>
      </c>
      <c r="I14" s="51">
        <v>-12.497389668363203</v>
      </c>
      <c r="J14" s="51">
        <v>-12.497389668363203</v>
      </c>
      <c r="K14" s="51">
        <v>-12.497389668363203</v>
      </c>
      <c r="L14" s="51">
        <v>-12.497389668363203</v>
      </c>
      <c r="M14" s="51">
        <v>-12.497389668363203</v>
      </c>
      <c r="N14" s="51">
        <v>-12.497389668363203</v>
      </c>
      <c r="O14" s="51" t="str">
        <f t="shared" ref="O14:O22" si="19">+SUM(C14:N14)</f>
        <v>  (143.9)</v>
      </c>
      <c r="R14" s="53">
        <v>-127.25070827377448</v>
      </c>
      <c r="S14" s="54" t="str">
        <f t="shared" si="17"/>
        <v>0%</v>
      </c>
      <c r="T14" s="116" t="str">
        <f>VLOOKUP(X14,$B$27:$O$43,14,0)</f>
        <v>#REF!</v>
      </c>
      <c r="U14" s="54" t="str">
        <f t="shared" si="4"/>
        <v>0%</v>
      </c>
      <c r="V14" s="55" t="str">
        <f t="shared" ref="V14:V22" si="20">VLOOKUP(X14,$B$5:$O$23,14,0)</f>
        <v>  (143.9)</v>
      </c>
      <c r="W14" s="56" t="str">
        <f t="shared" si="6"/>
        <v>0%</v>
      </c>
      <c r="X14" s="57" t="s">
        <v>39</v>
      </c>
      <c r="Y14" s="58" t="str">
        <f t="shared" si="7"/>
        <v>#REF!</v>
      </c>
      <c r="Z14" s="54" t="str">
        <f t="shared" si="8"/>
        <v>#REF!</v>
      </c>
      <c r="AA14" s="58" t="str">
        <f t="shared" si="9"/>
        <v>  (16.7)</v>
      </c>
      <c r="AB14" s="54" t="str">
        <f t="shared" si="10"/>
        <v>(13%)</v>
      </c>
    </row>
    <row r="15">
      <c r="B15" s="68" t="s">
        <v>66</v>
      </c>
      <c r="C15" s="51">
        <v>0.0</v>
      </c>
      <c r="D15" s="51">
        <v>-0.0459515345276873</v>
      </c>
      <c r="E15" s="51">
        <v>-0.072039</v>
      </c>
      <c r="F15" s="51">
        <v>-0.071962</v>
      </c>
      <c r="G15" s="51">
        <v>-0.072075</v>
      </c>
      <c r="H15" s="51">
        <v>0.0</v>
      </c>
      <c r="I15" s="51">
        <v>0.0</v>
      </c>
      <c r="J15" s="51">
        <v>0.0</v>
      </c>
      <c r="K15" s="51">
        <v>0.0</v>
      </c>
      <c r="L15" s="51">
        <v>0.0</v>
      </c>
      <c r="M15" s="51">
        <v>0.0</v>
      </c>
      <c r="N15" s="51">
        <v>0.0</v>
      </c>
      <c r="O15" s="51" t="str">
        <f t="shared" si="19"/>
        <v>  (0.3)</v>
      </c>
      <c r="P15" s="107"/>
      <c r="R15" s="53">
        <v>0.0</v>
      </c>
      <c r="S15" s="54" t="str">
        <f t="shared" si="17"/>
        <v>0%</v>
      </c>
      <c r="T15" s="116">
        <v>0.0</v>
      </c>
      <c r="U15" s="54" t="str">
        <f t="shared" si="4"/>
        <v>0%</v>
      </c>
      <c r="V15" s="55" t="str">
        <f t="shared" si="20"/>
        <v>  (0.3)</v>
      </c>
      <c r="W15" s="56" t="str">
        <f t="shared" si="6"/>
        <v>0%</v>
      </c>
      <c r="X15" s="57" t="s">
        <v>66</v>
      </c>
      <c r="Y15" s="58" t="str">
        <f t="shared" si="7"/>
        <v>  (0.3)</v>
      </c>
      <c r="Z15" s="125" t="str">
        <f t="shared" si="8"/>
        <v>(100%)</v>
      </c>
      <c r="AA15" s="58" t="str">
        <f t="shared" si="9"/>
        <v>  (0.3)</v>
      </c>
      <c r="AB15" s="54" t="str">
        <f t="shared" si="10"/>
        <v>(100%)</v>
      </c>
    </row>
    <row r="16">
      <c r="B16" s="68" t="s">
        <v>41</v>
      </c>
      <c r="C16" s="51">
        <v>-0.2536679711866667</v>
      </c>
      <c r="D16" s="51">
        <v>-0.39990505983999997</v>
      </c>
      <c r="E16" s="51">
        <v>-0.64566095982</v>
      </c>
      <c r="F16" s="51">
        <v>-0.9021311460866667</v>
      </c>
      <c r="G16" s="51">
        <v>-0.6096711104200001</v>
      </c>
      <c r="H16" s="51">
        <v>-1.5312104879188861</v>
      </c>
      <c r="I16" s="51">
        <v>-1.7367489353861036</v>
      </c>
      <c r="J16" s="51">
        <v>-1.4559412823528166</v>
      </c>
      <c r="K16" s="51">
        <v>-2.1169912339896544</v>
      </c>
      <c r="L16" s="51">
        <v>-1.9720870319344395</v>
      </c>
      <c r="M16" s="51">
        <v>-2.365646202648382</v>
      </c>
      <c r="N16" s="51">
        <v>-2.3648613340162967</v>
      </c>
      <c r="O16" s="51" t="str">
        <f t="shared" si="19"/>
        <v>  (16.4)</v>
      </c>
      <c r="P16" s="107"/>
      <c r="R16" s="53">
        <v>-21.078781730000003</v>
      </c>
      <c r="S16" s="54" t="str">
        <f t="shared" si="17"/>
        <v>0%</v>
      </c>
      <c r="T16" s="116" t="str">
        <f t="shared" ref="T16:T22" si="21">VLOOKUP(X16,$B$27:$O$43,14,0)</f>
        <v>#ERROR!</v>
      </c>
      <c r="U16" s="54" t="str">
        <f t="shared" si="4"/>
        <v>0%</v>
      </c>
      <c r="V16" s="55" t="str">
        <f t="shared" si="20"/>
        <v>  (16.4)</v>
      </c>
      <c r="W16" s="56" t="str">
        <f t="shared" si="6"/>
        <v>0%</v>
      </c>
      <c r="X16" s="57" t="s">
        <v>41</v>
      </c>
      <c r="Y16" s="58" t="str">
        <f t="shared" si="7"/>
        <v>#ERROR!</v>
      </c>
      <c r="Z16" s="54" t="str">
        <f t="shared" si="8"/>
        <v>#ERROR!</v>
      </c>
      <c r="AA16" s="58" t="str">
        <f t="shared" si="9"/>
        <v>  4.7 </v>
      </c>
      <c r="AB16" s="54" t="str">
        <f t="shared" si="10"/>
        <v>22%</v>
      </c>
    </row>
    <row r="17">
      <c r="B17" s="68" t="s">
        <v>43</v>
      </c>
      <c r="C17" s="51">
        <v>-0.16655681999999983</v>
      </c>
      <c r="D17" s="51">
        <v>-0.10469907999999983</v>
      </c>
      <c r="E17" s="51">
        <v>-0.09523817999999973</v>
      </c>
      <c r="F17" s="51">
        <v>-0.04254791</v>
      </c>
      <c r="G17" s="51">
        <v>-0.15106272</v>
      </c>
      <c r="H17" s="51">
        <v>-0.23461985603558486</v>
      </c>
      <c r="I17" s="51">
        <v>-0.2672557566924406</v>
      </c>
      <c r="J17" s="51">
        <v>-0.22266842628779276</v>
      </c>
      <c r="K17" s="51">
        <v>-0.3276315648961065</v>
      </c>
      <c r="L17" s="51">
        <v>-0.3046233189873248</v>
      </c>
      <c r="M17" s="51">
        <v>-0.367113612926435</v>
      </c>
      <c r="N17" s="51">
        <v>-0.3669889895529441</v>
      </c>
      <c r="O17" s="51" t="str">
        <f t="shared" si="19"/>
        <v>  (2.7)</v>
      </c>
      <c r="P17" s="107"/>
      <c r="R17" s="53">
        <v>-9.37101793</v>
      </c>
      <c r="S17" s="54" t="str">
        <f t="shared" si="17"/>
        <v>0%</v>
      </c>
      <c r="T17" s="116" t="str">
        <f t="shared" si="21"/>
        <v>#ERROR!</v>
      </c>
      <c r="U17" s="54" t="str">
        <f t="shared" si="4"/>
        <v>0%</v>
      </c>
      <c r="V17" s="55" t="str">
        <f t="shared" si="20"/>
        <v>  (2.7)</v>
      </c>
      <c r="W17" s="56" t="str">
        <f t="shared" si="6"/>
        <v>0%</v>
      </c>
      <c r="X17" s="57" t="s">
        <v>43</v>
      </c>
      <c r="Y17" s="58" t="str">
        <f t="shared" si="7"/>
        <v>#ERROR!</v>
      </c>
      <c r="Z17" s="54" t="str">
        <f t="shared" ref="Z17:Z18" si="22">IF((IFERROR(IF(ABS(Y17/T17)&gt;=9.99,IF(Y17&gt;0,9.99,-9.99),Y17/ABS(T17)),IF(Y17=0,0,Y17/ABS(Y17))))&lt;=-200%,"(200%)",(IFERROR(IF(ABS(Y17/T17)&gt;=9.99,IF(Y17&gt;0,9.99,-9.99),Y17/ABS(T17)),IF(Y17=0,0,Y17/ABS(Y17)))))*1</f>
        <v>#ERROR!</v>
      </c>
      <c r="AA17" s="58" t="str">
        <f t="shared" si="9"/>
        <v>  6.7 </v>
      </c>
      <c r="AB17" s="54" t="str">
        <f t="shared" ref="AB17:AB18" si="23">IF((IFERROR(IF(ABS(AA17/R17)&gt;=9.99,IF(AA17&gt;0,9.99,-9.99),AA17/ABS(R17)),IF(AA17=0,0,AA17/ABS(AA17))))&lt;=-200%,"(200%)",(IFERROR(IF(ABS(AA17/R17)&gt;=9.99,IF(AA17&gt;0,9.99,-9.99),AA17/ABS(R17)),IF(AA17=0,0,AA17/ABS(AA17)))))*1</f>
        <v>72%</v>
      </c>
    </row>
    <row r="18">
      <c r="B18" s="68" t="s">
        <v>81</v>
      </c>
      <c r="C18" s="51">
        <v>-0.38403068696000003</v>
      </c>
      <c r="D18" s="51">
        <v>-0.33417958223999994</v>
      </c>
      <c r="E18" s="51">
        <v>-0.302014172</v>
      </c>
      <c r="F18" s="51">
        <v>-0.30087527348</v>
      </c>
      <c r="G18" s="51">
        <v>-0.29350685480000005</v>
      </c>
      <c r="H18" s="51">
        <v>-0.3577335576036065</v>
      </c>
      <c r="I18" s="51">
        <v>-0.27449776637227274</v>
      </c>
      <c r="J18" s="51">
        <v>-0.2837646633212033</v>
      </c>
      <c r="K18" s="51">
        <v>-0.2837646633212033</v>
      </c>
      <c r="L18" s="51">
        <v>-0.2837646633212033</v>
      </c>
      <c r="M18" s="51">
        <v>-0.2837646633212033</v>
      </c>
      <c r="N18" s="51">
        <v>-0.3568872617562227</v>
      </c>
      <c r="O18" s="51" t="str">
        <f t="shared" si="19"/>
        <v>  (3.7)</v>
      </c>
      <c r="P18" s="107"/>
      <c r="R18" s="53">
        <v>-2.272610821166667</v>
      </c>
      <c r="S18" s="54"/>
      <c r="T18" s="116" t="str">
        <f t="shared" si="21"/>
        <v>#ERROR!</v>
      </c>
      <c r="U18" s="54" t="str">
        <f t="shared" si="4"/>
        <v>0%</v>
      </c>
      <c r="V18" s="55" t="str">
        <f t="shared" si="20"/>
        <v>  (3.7)</v>
      </c>
      <c r="W18" s="56" t="str">
        <f t="shared" si="6"/>
        <v>0%</v>
      </c>
      <c r="X18" s="57" t="s">
        <v>81</v>
      </c>
      <c r="Y18" s="58" t="str">
        <f t="shared" si="7"/>
        <v>#ERROR!</v>
      </c>
      <c r="Z18" s="54" t="str">
        <f t="shared" si="22"/>
        <v>#ERROR!</v>
      </c>
      <c r="AA18" s="58" t="str">
        <f t="shared" si="9"/>
        <v>  (1.5)</v>
      </c>
      <c r="AB18" s="54" t="str">
        <f t="shared" si="23"/>
        <v>(65%)</v>
      </c>
    </row>
    <row r="19">
      <c r="B19" s="68" t="s">
        <v>82</v>
      </c>
      <c r="C19" s="51">
        <v>-0.13038313821184</v>
      </c>
      <c r="D19" s="51">
        <v>-0.117992157479202</v>
      </c>
      <c r="E19" s="51">
        <v>-0.0838479765294528</v>
      </c>
      <c r="F19" s="51">
        <v>-0.0910282688869711</v>
      </c>
      <c r="G19" s="51">
        <v>-0.0666166469574201</v>
      </c>
      <c r="H19" s="51">
        <v>-0.09878248629262956</v>
      </c>
      <c r="I19" s="51">
        <v>-0.10642857956520463</v>
      </c>
      <c r="J19" s="51">
        <v>-0.11743461928247521</v>
      </c>
      <c r="K19" s="51">
        <v>-0.11743461928247521</v>
      </c>
      <c r="L19" s="51">
        <v>-0.11743461928247521</v>
      </c>
      <c r="M19" s="51">
        <v>-0.11743461928247521</v>
      </c>
      <c r="N19" s="51">
        <v>-0.11743461928247521</v>
      </c>
      <c r="O19" s="51" t="str">
        <f t="shared" si="19"/>
        <v>  (1.3)</v>
      </c>
      <c r="R19" s="53">
        <v>-1.005273453322024</v>
      </c>
      <c r="S19" s="54" t="str">
        <f>IF((+IFERROR((R19/$R$8),0))&lt;=-200%,"-200%",(+IFERROR((R19/$R$8),0)))</f>
        <v>0%</v>
      </c>
      <c r="T19" s="116" t="str">
        <f t="shared" si="21"/>
        <v>#REF!</v>
      </c>
      <c r="U19" s="54" t="str">
        <f t="shared" si="4"/>
        <v>0%</v>
      </c>
      <c r="V19" s="55" t="str">
        <f t="shared" si="20"/>
        <v>  (1.3)</v>
      </c>
      <c r="W19" s="56" t="str">
        <f t="shared" si="6"/>
        <v>0%</v>
      </c>
      <c r="X19" s="57" t="s">
        <v>82</v>
      </c>
      <c r="Y19" s="58" t="str">
        <f t="shared" si="7"/>
        <v>#REF!</v>
      </c>
      <c r="Z19" s="54" t="str">
        <f t="shared" ref="Z19:Z24" si="24">IF((IFERROR(IF(ABS(Y19/T19)&gt;=9.99,IF(Y19&gt;0,9.99,-9.99),Y19/ABS(T19)),IF(Y19=0,0,Y19/ABS(Y19))))&lt;=-200%,"-200%",(IFERROR(IF(ABS(Y19/T19)&gt;=9.99,IF(Y19&gt;0,9.99,-9.99),Y19/ABS(T19)),IF(Y19=0,0,Y19/ABS(Y19)))))</f>
        <v>#REF!</v>
      </c>
      <c r="AA19" s="58" t="str">
        <f t="shared" si="9"/>
        <v>  (0.3)</v>
      </c>
      <c r="AB19" s="54" t="str">
        <f t="shared" ref="AB19:AB24" si="25">IF((IFERROR(IF(ABS(AA19/R19)&gt;=9.99,IF(AA19&gt;0,9.99,-9.99),AA19/ABS(R19)),IF(AA19=0,0,AA19/ABS(AA19))))&lt;=-200%,"(200%)",(IFERROR(IF(ABS(AA19/R19)&gt;=9.99,IF(AA19&gt;0,9.99,-9.99),AA19/ABS(R19)),IF(AA19=0,0,AA19/ABS(AA19)))))</f>
        <v>(28%)</v>
      </c>
    </row>
    <row r="20">
      <c r="B20" s="68" t="s">
        <v>44</v>
      </c>
      <c r="C20" s="51">
        <v>-1.57149889127172</v>
      </c>
      <c r="D20" s="51">
        <v>-1.0945034904288902</v>
      </c>
      <c r="E20" s="51">
        <v>-0.9933740937436365</v>
      </c>
      <c r="F20" s="51">
        <v>-0.733699113465946</v>
      </c>
      <c r="G20" s="51">
        <v>-0.8399311571407629</v>
      </c>
      <c r="H20" s="51">
        <v>-0.767139597164889</v>
      </c>
      <c r="I20" s="51">
        <v>-0.767139597164889</v>
      </c>
      <c r="J20" s="51">
        <v>-0.767139597164889</v>
      </c>
      <c r="K20" s="51">
        <v>-0.767139597164889</v>
      </c>
      <c r="L20" s="51">
        <v>-0.767139597164889</v>
      </c>
      <c r="M20" s="51">
        <v>-0.767139597164889</v>
      </c>
      <c r="N20" s="51">
        <v>-0.767139597164889</v>
      </c>
      <c r="O20" s="51" t="str">
        <f t="shared" si="19"/>
        <v>  (10.6)</v>
      </c>
      <c r="R20" s="53">
        <v>-11.45521258207363</v>
      </c>
      <c r="S20" s="54"/>
      <c r="T20" s="116" t="str">
        <f t="shared" si="21"/>
        <v>#ERROR!</v>
      </c>
      <c r="U20" s="54" t="str">
        <f t="shared" si="4"/>
        <v>0%</v>
      </c>
      <c r="V20" s="55" t="str">
        <f t="shared" si="20"/>
        <v>  (10.6)</v>
      </c>
      <c r="W20" s="56" t="str">
        <f t="shared" si="6"/>
        <v>0%</v>
      </c>
      <c r="X20" s="57" t="s">
        <v>44</v>
      </c>
      <c r="Y20" s="58" t="str">
        <f t="shared" si="7"/>
        <v>#ERROR!</v>
      </c>
      <c r="Z20" s="54" t="str">
        <f t="shared" si="24"/>
        <v>#ERROR!</v>
      </c>
      <c r="AA20" s="58" t="str">
        <f t="shared" si="9"/>
        <v>  0.9 </v>
      </c>
      <c r="AB20" s="54" t="str">
        <f t="shared" si="25"/>
        <v>7%</v>
      </c>
    </row>
    <row r="21" ht="15.75" customHeight="1">
      <c r="B21" s="68" t="s">
        <v>45</v>
      </c>
      <c r="C21" s="51">
        <v>-1.06721089999981</v>
      </c>
      <c r="D21" s="51">
        <v>-1.0707356499999898</v>
      </c>
      <c r="E21" s="51">
        <v>-1.0573367000000002</v>
      </c>
      <c r="F21" s="51">
        <v>-1.01399291</v>
      </c>
      <c r="G21" s="51">
        <v>-1.1775296000000002</v>
      </c>
      <c r="H21" s="51">
        <v>-0.9419353877330418</v>
      </c>
      <c r="I21" s="51">
        <v>-1.0729597190009375</v>
      </c>
      <c r="J21" s="51">
        <v>-0.893953623513805</v>
      </c>
      <c r="K21" s="51">
        <v>-1.315352290844432</v>
      </c>
      <c r="L21" s="51">
        <v>-1.2229803944612954</v>
      </c>
      <c r="M21" s="51">
        <v>-1.473862055739614</v>
      </c>
      <c r="N21" s="51">
        <v>-1.473361726536395</v>
      </c>
      <c r="O21" s="51" t="str">
        <f t="shared" si="19"/>
        <v>  (13.8)</v>
      </c>
      <c r="R21" s="53">
        <v>-13.657147000000052</v>
      </c>
      <c r="S21" s="54" t="str">
        <f t="shared" ref="S21:S24" si="26">IF((+IFERROR((R21/$R$8),0))&lt;=-200%,"-200%",(+IFERROR((R21/$R$8),0)))</f>
        <v>0%</v>
      </c>
      <c r="T21" s="116" t="str">
        <f t="shared" si="21"/>
        <v>#ERROR!</v>
      </c>
      <c r="U21" s="54" t="str">
        <f t="shared" si="4"/>
        <v>0%</v>
      </c>
      <c r="V21" s="55" t="str">
        <f t="shared" si="20"/>
        <v>  (13.8)</v>
      </c>
      <c r="W21" s="56" t="str">
        <f t="shared" si="6"/>
        <v>0%</v>
      </c>
      <c r="X21" s="57" t="s">
        <v>45</v>
      </c>
      <c r="Y21" s="58" t="str">
        <f t="shared" si="7"/>
        <v>#ERROR!</v>
      </c>
      <c r="Z21" s="54" t="str">
        <f t="shared" si="24"/>
        <v>#ERROR!</v>
      </c>
      <c r="AA21" s="58" t="str">
        <f t="shared" si="9"/>
        <v>  (0.1)</v>
      </c>
      <c r="AB21" s="54" t="str">
        <f t="shared" si="25"/>
        <v>(1%)</v>
      </c>
    </row>
    <row r="22" ht="15.75" customHeight="1">
      <c r="B22" s="68" t="s">
        <v>46</v>
      </c>
      <c r="C22" s="51">
        <v>-0.00164064</v>
      </c>
      <c r="D22" s="51">
        <v>-0.00163264</v>
      </c>
      <c r="E22" s="51">
        <v>-0.0014215599999999999</v>
      </c>
      <c r="F22" s="51">
        <v>-0.00140756</v>
      </c>
      <c r="G22" s="51">
        <v>-0.00141456</v>
      </c>
      <c r="H22" s="51">
        <v>-0.003981700435335121</v>
      </c>
      <c r="I22" s="51">
        <v>-0.0045355596953682836</v>
      </c>
      <c r="J22" s="51">
        <v>-0.0037788744092956054</v>
      </c>
      <c r="K22" s="51">
        <v>-0.005560189007952062</v>
      </c>
      <c r="L22" s="51">
        <v>-0.0051697193166851865</v>
      </c>
      <c r="M22" s="51">
        <v>-0.006230233268001551</v>
      </c>
      <c r="N22" s="51">
        <v>-0.006228118302333828</v>
      </c>
      <c r="O22" s="51" t="str">
        <f t="shared" si="19"/>
        <v>  (0.0)</v>
      </c>
      <c r="P22" s="118"/>
      <c r="R22" s="53">
        <v>-0.050714465</v>
      </c>
      <c r="S22" s="54" t="str">
        <f t="shared" si="26"/>
        <v>0%</v>
      </c>
      <c r="T22" s="116" t="str">
        <f t="shared" si="21"/>
        <v>#REF!</v>
      </c>
      <c r="U22" s="54" t="str">
        <f t="shared" si="4"/>
        <v>0%</v>
      </c>
      <c r="V22" s="55" t="str">
        <f t="shared" si="20"/>
        <v>  (0.0)</v>
      </c>
      <c r="W22" s="56" t="str">
        <f t="shared" si="6"/>
        <v>0%</v>
      </c>
      <c r="X22" s="57" t="s">
        <v>46</v>
      </c>
      <c r="Y22" s="58" t="str">
        <f t="shared" si="7"/>
        <v>#REF!</v>
      </c>
      <c r="Z22" s="54" t="str">
        <f t="shared" si="24"/>
        <v>#REF!</v>
      </c>
      <c r="AA22" s="58" t="str">
        <f t="shared" si="9"/>
        <v>  0.0 </v>
      </c>
      <c r="AB22" s="54" t="str">
        <f t="shared" si="25"/>
        <v>15%</v>
      </c>
    </row>
    <row r="23" ht="15.75" customHeight="1">
      <c r="B23" s="59" t="s">
        <v>49</v>
      </c>
      <c r="C23" s="60" t="str">
        <f t="shared" ref="C23:O23" si="27">SUM(C14:C22)</f>
        <v>  (14.7)</v>
      </c>
      <c r="D23" s="60" t="str">
        <f t="shared" si="27"/>
        <v>  (16.8)</v>
      </c>
      <c r="E23" s="60" t="str">
        <f t="shared" si="27"/>
        <v>  (15.2)</v>
      </c>
      <c r="F23" s="60" t="str">
        <f t="shared" si="27"/>
        <v>  (12.8)</v>
      </c>
      <c r="G23" s="60" t="str">
        <f t="shared" si="27"/>
        <v>  (13.4)</v>
      </c>
      <c r="H23" s="60" t="str">
        <f t="shared" si="27"/>
        <v>  (16.4)</v>
      </c>
      <c r="I23" s="60" t="str">
        <f t="shared" si="27"/>
        <v>  (16.7)</v>
      </c>
      <c r="J23" s="60" t="str">
        <f t="shared" si="27"/>
        <v>  (16.2)</v>
      </c>
      <c r="K23" s="60" t="str">
        <f t="shared" si="27"/>
        <v>  (17.4)</v>
      </c>
      <c r="L23" s="60" t="str">
        <f t="shared" si="27"/>
        <v>  (17.2)</v>
      </c>
      <c r="M23" s="60" t="str">
        <f t="shared" si="27"/>
        <v>  (17.9)</v>
      </c>
      <c r="N23" s="60" t="str">
        <f t="shared" si="27"/>
        <v>  (18.0)</v>
      </c>
      <c r="O23" s="60" t="str">
        <f t="shared" si="27"/>
        <v>  (192.7)</v>
      </c>
      <c r="R23" s="73" t="str">
        <f>+SUM(R14:R22)</f>
        <v>  (186.1)</v>
      </c>
      <c r="S23" s="76" t="str">
        <f t="shared" si="26"/>
        <v>0%</v>
      </c>
      <c r="T23" s="73" t="str">
        <f>+SUM(T14:T22)</f>
        <v>#REF!</v>
      </c>
      <c r="U23" s="74" t="str">
        <f t="shared" si="4"/>
        <v>0%</v>
      </c>
      <c r="V23" s="73" t="str">
        <f>+SUM(V14:V22)</f>
        <v>  (192.7)</v>
      </c>
      <c r="W23" s="74" t="str">
        <f t="shared" si="6"/>
        <v>0%</v>
      </c>
      <c r="X23" s="75" t="s">
        <v>46</v>
      </c>
      <c r="Y23" s="73" t="str">
        <f t="shared" si="7"/>
        <v>#REF!</v>
      </c>
      <c r="Z23" s="74" t="str">
        <f t="shared" si="24"/>
        <v>#REF!</v>
      </c>
      <c r="AA23" s="73" t="str">
        <f t="shared" si="9"/>
        <v>  (6.5)</v>
      </c>
      <c r="AB23" s="74" t="str">
        <f t="shared" si="25"/>
        <v>(3%)</v>
      </c>
    </row>
    <row r="24" ht="15.75" customHeight="1">
      <c r="B24" s="77" t="s">
        <v>50</v>
      </c>
      <c r="C24" s="78" t="str">
        <f t="shared" ref="C24:O24" si="28">+C13+C23</f>
        <v>  (15.8)</v>
      </c>
      <c r="D24" s="78" t="str">
        <f t="shared" si="28"/>
        <v>  (17.3)</v>
      </c>
      <c r="E24" s="78" t="str">
        <f t="shared" si="28"/>
        <v>  (15.8)</v>
      </c>
      <c r="F24" s="78" t="str">
        <f t="shared" si="28"/>
        <v>  (13.3)</v>
      </c>
      <c r="G24" s="78" t="str">
        <f t="shared" si="28"/>
        <v>  (13.9)</v>
      </c>
      <c r="H24" s="79" t="str">
        <f t="shared" si="28"/>
        <v>  (17.0)</v>
      </c>
      <c r="I24" s="79" t="str">
        <f t="shared" si="28"/>
        <v>  (17.3)</v>
      </c>
      <c r="J24" s="79" t="str">
        <f t="shared" si="28"/>
        <v>  (17.1)</v>
      </c>
      <c r="K24" s="79" t="str">
        <f t="shared" si="28"/>
        <v>  (18.0)</v>
      </c>
      <c r="L24" s="79" t="str">
        <f t="shared" si="28"/>
        <v>  (17.8)</v>
      </c>
      <c r="M24" s="79" t="str">
        <f t="shared" si="28"/>
        <v>  (18.5)</v>
      </c>
      <c r="N24" s="79" t="str">
        <f t="shared" si="28"/>
        <v>  (18.6)</v>
      </c>
      <c r="O24" s="79" t="str">
        <f t="shared" si="28"/>
        <v>  (200.3)</v>
      </c>
      <c r="P24" s="118"/>
      <c r="R24" s="80" t="str">
        <f>+R23+R13</f>
        <v>  (190.9)</v>
      </c>
      <c r="S24" s="81" t="str">
        <f t="shared" si="26"/>
        <v>0%</v>
      </c>
      <c r="T24" s="80" t="str">
        <f>T13+T23</f>
        <v>#REF!</v>
      </c>
      <c r="U24" s="82" t="str">
        <f t="shared" si="4"/>
        <v>0%</v>
      </c>
      <c r="V24" s="83" t="str">
        <f>V13+V23</f>
        <v>  (200.3)</v>
      </c>
      <c r="W24" s="84" t="str">
        <f t="shared" si="6"/>
        <v>0%</v>
      </c>
      <c r="X24" s="85" t="s">
        <v>51</v>
      </c>
      <c r="Y24" s="80" t="str">
        <f t="shared" si="7"/>
        <v>#REF!</v>
      </c>
      <c r="Z24" s="82" t="str">
        <f t="shared" si="24"/>
        <v>#REF!</v>
      </c>
      <c r="AA24" s="80" t="str">
        <f t="shared" si="9"/>
        <v>  (9.4)</v>
      </c>
      <c r="AB24" s="82" t="str">
        <f t="shared" si="25"/>
        <v>(5%)</v>
      </c>
    </row>
    <row r="25" ht="15.75" customHeight="1">
      <c r="F25" s="126"/>
      <c r="H25" s="126"/>
    </row>
    <row r="26" ht="15.75" customHeight="1">
      <c r="C26" s="127"/>
      <c r="D26" s="127"/>
      <c r="E26" s="127"/>
      <c r="F26" s="127"/>
    </row>
    <row r="27" ht="15.75" customHeight="1">
      <c r="B27" s="89" t="s">
        <v>53</v>
      </c>
      <c r="C27" s="90">
        <v>46023.0</v>
      </c>
      <c r="D27" s="90">
        <v>46054.0</v>
      </c>
      <c r="E27" s="90">
        <v>46082.0</v>
      </c>
      <c r="F27" s="90">
        <v>46113.0</v>
      </c>
      <c r="G27" s="90">
        <v>46143.0</v>
      </c>
      <c r="H27" s="90">
        <v>46174.0</v>
      </c>
      <c r="I27" s="90">
        <v>46204.0</v>
      </c>
      <c r="J27" s="90">
        <v>46235.0</v>
      </c>
      <c r="K27" s="90">
        <v>46266.0</v>
      </c>
      <c r="L27" s="90">
        <v>46296.0</v>
      </c>
      <c r="M27" s="90">
        <v>46327.0</v>
      </c>
      <c r="N27" s="90">
        <v>46357.0</v>
      </c>
      <c r="O27" s="91" t="s">
        <v>19</v>
      </c>
    </row>
    <row r="28" ht="15.75" customHeight="1">
      <c r="B28" s="50" t="s">
        <v>30</v>
      </c>
      <c r="C28" s="51">
        <v>0.0</v>
      </c>
      <c r="D28" s="51">
        <v>0.0</v>
      </c>
      <c r="E28" s="51">
        <v>0.0</v>
      </c>
      <c r="F28" s="51">
        <v>0.0</v>
      </c>
      <c r="G28" s="51">
        <v>0.0</v>
      </c>
      <c r="H28" s="51">
        <v>0.0</v>
      </c>
      <c r="I28" s="51">
        <v>0.0</v>
      </c>
      <c r="J28" s="51">
        <v>0.0</v>
      </c>
      <c r="K28" s="51">
        <v>0.0</v>
      </c>
      <c r="L28" s="51">
        <v>0.0</v>
      </c>
      <c r="M28" s="51">
        <v>0.0</v>
      </c>
      <c r="N28" s="51">
        <v>0.0</v>
      </c>
      <c r="O28" s="51" t="str">
        <f t="shared" ref="O28:O29" si="29">+SUM(C28:N28)</f>
        <v>  -   </v>
      </c>
    </row>
    <row r="29" ht="15.75" customHeight="1">
      <c r="B29" s="50" t="s">
        <v>31</v>
      </c>
      <c r="C29" s="51">
        <v>0.0</v>
      </c>
      <c r="D29" s="51">
        <v>0.0</v>
      </c>
      <c r="E29" s="51">
        <v>0.0</v>
      </c>
      <c r="F29" s="51">
        <v>0.0</v>
      </c>
      <c r="G29" s="51">
        <v>0.0</v>
      </c>
      <c r="H29" s="51">
        <v>0.0</v>
      </c>
      <c r="I29" s="51">
        <v>0.0</v>
      </c>
      <c r="J29" s="51">
        <v>0.0</v>
      </c>
      <c r="K29" s="51">
        <v>0.0</v>
      </c>
      <c r="L29" s="51">
        <v>0.0</v>
      </c>
      <c r="M29" s="51">
        <v>0.0</v>
      </c>
      <c r="N29" s="51">
        <v>0.0</v>
      </c>
      <c r="O29" s="51" t="str">
        <f t="shared" si="29"/>
        <v>  -   </v>
      </c>
    </row>
    <row r="30" ht="15.75" customHeight="1">
      <c r="B30" s="59" t="s">
        <v>32</v>
      </c>
      <c r="C30" s="60" t="str">
        <f t="shared" ref="C30:D30" si="30">C28+C29</f>
        <v>  -   </v>
      </c>
      <c r="D30" s="60" t="str">
        <f t="shared" si="30"/>
        <v>  -   </v>
      </c>
      <c r="E30" s="60" t="str">
        <f t="shared" ref="E30:O30" si="31">E29+E28</f>
        <v>  -   </v>
      </c>
      <c r="F30" s="60" t="str">
        <f t="shared" si="31"/>
        <v>  -   </v>
      </c>
      <c r="G30" s="60" t="str">
        <f t="shared" si="31"/>
        <v>  -   </v>
      </c>
      <c r="H30" s="60" t="str">
        <f t="shared" si="31"/>
        <v>  -   </v>
      </c>
      <c r="I30" s="60" t="str">
        <f t="shared" si="31"/>
        <v>  -   </v>
      </c>
      <c r="J30" s="60" t="str">
        <f t="shared" si="31"/>
        <v>  -   </v>
      </c>
      <c r="K30" s="60" t="str">
        <f t="shared" si="31"/>
        <v>  -   </v>
      </c>
      <c r="L30" s="60" t="str">
        <f t="shared" si="31"/>
        <v>  -   </v>
      </c>
      <c r="M30" s="60" t="str">
        <f t="shared" si="31"/>
        <v>  -   </v>
      </c>
      <c r="N30" s="60" t="str">
        <f t="shared" si="31"/>
        <v>  -   </v>
      </c>
      <c r="O30" s="60" t="str">
        <f t="shared" si="31"/>
        <v>  -   </v>
      </c>
    </row>
    <row r="31" ht="15.75" customHeight="1">
      <c r="B31" s="68" t="s">
        <v>63</v>
      </c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 t="str">
        <f t="shared" ref="O31:O33" si="33">+SUM(C31:N31)</f>
        <v>  -   </v>
      </c>
    </row>
    <row r="32" ht="15.75" customHeight="1">
      <c r="B32" s="68" t="s">
        <v>79</v>
      </c>
      <c r="C32" s="51" t="str">
        <f t="shared" ref="C32:N32" si="32">+'[2]Dispersión Gto de Staff'!C48</f>
        <v>#REF!</v>
      </c>
      <c r="D32" s="51" t="str">
        <f t="shared" si="32"/>
        <v>#REF!</v>
      </c>
      <c r="E32" s="51" t="str">
        <f t="shared" si="32"/>
        <v>#REF!</v>
      </c>
      <c r="F32" s="51" t="str">
        <f t="shared" si="32"/>
        <v>#REF!</v>
      </c>
      <c r="G32" s="51" t="str">
        <f t="shared" si="32"/>
        <v>#REF!</v>
      </c>
      <c r="H32" s="51" t="str">
        <f t="shared" si="32"/>
        <v>#REF!</v>
      </c>
      <c r="I32" s="51" t="str">
        <f t="shared" si="32"/>
        <v>#REF!</v>
      </c>
      <c r="J32" s="51" t="str">
        <f t="shared" si="32"/>
        <v>#REF!</v>
      </c>
      <c r="K32" s="51" t="str">
        <f t="shared" si="32"/>
        <v>#REF!</v>
      </c>
      <c r="L32" s="51" t="str">
        <f t="shared" si="32"/>
        <v>#REF!</v>
      </c>
      <c r="M32" s="51" t="str">
        <f t="shared" si="32"/>
        <v>#REF!</v>
      </c>
      <c r="N32" s="51" t="str">
        <f t="shared" si="32"/>
        <v>#REF!</v>
      </c>
      <c r="O32" s="51" t="str">
        <f t="shared" si="33"/>
        <v>#REF!</v>
      </c>
    </row>
    <row r="33" ht="15.75" customHeight="1">
      <c r="B33" s="68" t="s">
        <v>80</v>
      </c>
      <c r="C33" s="51" t="str">
        <f t="shared" ref="C33:N33" si="34">+'[2]Dispersión Gto de Staff'!C49</f>
        <v>#REF!</v>
      </c>
      <c r="D33" s="51" t="str">
        <f t="shared" si="34"/>
        <v>#REF!</v>
      </c>
      <c r="E33" s="51" t="str">
        <f t="shared" si="34"/>
        <v>#REF!</v>
      </c>
      <c r="F33" s="51" t="str">
        <f t="shared" si="34"/>
        <v>#REF!</v>
      </c>
      <c r="G33" s="51" t="str">
        <f t="shared" si="34"/>
        <v>#REF!</v>
      </c>
      <c r="H33" s="51" t="str">
        <f t="shared" si="34"/>
        <v>#REF!</v>
      </c>
      <c r="I33" s="51" t="str">
        <f t="shared" si="34"/>
        <v>#REF!</v>
      </c>
      <c r="J33" s="51" t="str">
        <f t="shared" si="34"/>
        <v>#REF!</v>
      </c>
      <c r="K33" s="51" t="str">
        <f t="shared" si="34"/>
        <v>#REF!</v>
      </c>
      <c r="L33" s="51" t="str">
        <f t="shared" si="34"/>
        <v>#REF!</v>
      </c>
      <c r="M33" s="51" t="str">
        <f t="shared" si="34"/>
        <v>#REF!</v>
      </c>
      <c r="N33" s="51" t="str">
        <f t="shared" si="34"/>
        <v>#REF!</v>
      </c>
      <c r="O33" s="51" t="str">
        <f t="shared" si="33"/>
        <v>#REF!</v>
      </c>
    </row>
    <row r="34" ht="15.75" customHeight="1">
      <c r="B34" s="119" t="s">
        <v>37</v>
      </c>
      <c r="C34" s="71" t="str">
        <f t="shared" ref="C34:O34" si="35">SUM(C31:C33)</f>
        <v>#REF!</v>
      </c>
      <c r="D34" s="71" t="str">
        <f t="shared" si="35"/>
        <v>#REF!</v>
      </c>
      <c r="E34" s="71" t="str">
        <f t="shared" si="35"/>
        <v>#REF!</v>
      </c>
      <c r="F34" s="71" t="str">
        <f t="shared" si="35"/>
        <v>#REF!</v>
      </c>
      <c r="G34" s="71" t="str">
        <f t="shared" si="35"/>
        <v>#REF!</v>
      </c>
      <c r="H34" s="71" t="str">
        <f t="shared" si="35"/>
        <v>#REF!</v>
      </c>
      <c r="I34" s="71" t="str">
        <f t="shared" si="35"/>
        <v>#REF!</v>
      </c>
      <c r="J34" s="71" t="str">
        <f t="shared" si="35"/>
        <v>#REF!</v>
      </c>
      <c r="K34" s="71" t="str">
        <f t="shared" si="35"/>
        <v>#REF!</v>
      </c>
      <c r="L34" s="71" t="str">
        <f t="shared" si="35"/>
        <v>#REF!</v>
      </c>
      <c r="M34" s="71" t="str">
        <f t="shared" si="35"/>
        <v>#REF!</v>
      </c>
      <c r="N34" s="71" t="str">
        <f t="shared" si="35"/>
        <v>#REF!</v>
      </c>
      <c r="O34" s="71" t="str">
        <f t="shared" si="35"/>
        <v>#REF!</v>
      </c>
    </row>
    <row r="35" ht="15.75" customHeight="1">
      <c r="B35" s="59" t="s">
        <v>38</v>
      </c>
      <c r="C35" s="60" t="str">
        <f t="shared" ref="C35:O35" si="36">C30+C34</f>
        <v>#REF!</v>
      </c>
      <c r="D35" s="60" t="str">
        <f t="shared" si="36"/>
        <v>#REF!</v>
      </c>
      <c r="E35" s="60" t="str">
        <f t="shared" si="36"/>
        <v>#REF!</v>
      </c>
      <c r="F35" s="60" t="str">
        <f t="shared" si="36"/>
        <v>#REF!</v>
      </c>
      <c r="G35" s="60" t="str">
        <f t="shared" si="36"/>
        <v>#REF!</v>
      </c>
      <c r="H35" s="60" t="str">
        <f t="shared" si="36"/>
        <v>#REF!</v>
      </c>
      <c r="I35" s="60" t="str">
        <f t="shared" si="36"/>
        <v>#REF!</v>
      </c>
      <c r="J35" s="60" t="str">
        <f t="shared" si="36"/>
        <v>#REF!</v>
      </c>
      <c r="K35" s="60" t="str">
        <f t="shared" si="36"/>
        <v>#REF!</v>
      </c>
      <c r="L35" s="60" t="str">
        <f t="shared" si="36"/>
        <v>#REF!</v>
      </c>
      <c r="M35" s="60" t="str">
        <f t="shared" si="36"/>
        <v>#REF!</v>
      </c>
      <c r="N35" s="60" t="str">
        <f t="shared" si="36"/>
        <v>#REF!</v>
      </c>
      <c r="O35" s="60" t="str">
        <f t="shared" si="36"/>
        <v>#REF!</v>
      </c>
    </row>
    <row r="36" ht="15.75" customHeight="1">
      <c r="B36" s="68" t="s">
        <v>39</v>
      </c>
      <c r="C36" s="51" t="str">
        <f t="shared" ref="C36:N36" si="37">+'[3]Final Staff Consolidado'!R27+'[3]Final Staff Consolidado'!R49</f>
        <v>#REF!</v>
      </c>
      <c r="D36" s="51" t="str">
        <f t="shared" si="37"/>
        <v>#REF!</v>
      </c>
      <c r="E36" s="51" t="str">
        <f t="shared" si="37"/>
        <v>#REF!</v>
      </c>
      <c r="F36" s="51" t="str">
        <f t="shared" si="37"/>
        <v>#REF!</v>
      </c>
      <c r="G36" s="51" t="str">
        <f t="shared" si="37"/>
        <v>#REF!</v>
      </c>
      <c r="H36" s="51" t="str">
        <f t="shared" si="37"/>
        <v>#REF!</v>
      </c>
      <c r="I36" s="51" t="str">
        <f t="shared" si="37"/>
        <v>#REF!</v>
      </c>
      <c r="J36" s="51" t="str">
        <f t="shared" si="37"/>
        <v>#REF!</v>
      </c>
      <c r="K36" s="51" t="str">
        <f t="shared" si="37"/>
        <v>#REF!</v>
      </c>
      <c r="L36" s="51" t="str">
        <f t="shared" si="37"/>
        <v>#REF!</v>
      </c>
      <c r="M36" s="51" t="str">
        <f t="shared" si="37"/>
        <v>#REF!</v>
      </c>
      <c r="N36" s="51" t="str">
        <f t="shared" si="37"/>
        <v>#REF!</v>
      </c>
      <c r="O36" s="51" t="str">
        <f t="shared" ref="O36:O43" si="38">+SUM(C36:N36)</f>
        <v>#REF!</v>
      </c>
    </row>
    <row r="37" ht="15.75" customHeight="1">
      <c r="B37" s="68" t="s">
        <v>41</v>
      </c>
      <c r="C37" s="51" t="str">
        <f>'[2]Dispersión Gto de Staff'!C46+[4]ND!C23+[5]Hoja1!S97</f>
        <v>#ERROR!</v>
      </c>
      <c r="D37" s="51" t="str">
        <f>'[2]Dispersión Gto de Staff'!D46+[4]ND!D23+[5]Hoja1!T97</f>
        <v>#ERROR!</v>
      </c>
      <c r="E37" s="51" t="str">
        <f>'[2]Dispersión Gto de Staff'!E46+[4]ND!E23+[5]Hoja1!U97</f>
        <v>#ERROR!</v>
      </c>
      <c r="F37" s="51" t="str">
        <f>'[2]Dispersión Gto de Staff'!F46+[4]ND!F23+[5]Hoja1!V97</f>
        <v>#ERROR!</v>
      </c>
      <c r="G37" s="51" t="str">
        <f>'[2]Dispersión Gto de Staff'!G46+[4]ND!G23+[5]Hoja1!W97</f>
        <v>#ERROR!</v>
      </c>
      <c r="H37" s="51" t="str">
        <f>'[2]Dispersión Gto de Staff'!H46+[4]ND!H23+[5]Hoja1!X97</f>
        <v>#ERROR!</v>
      </c>
      <c r="I37" s="51" t="str">
        <f>'[2]Dispersión Gto de Staff'!I46+[4]ND!I23+[5]Hoja1!Y97</f>
        <v>#ERROR!</v>
      </c>
      <c r="J37" s="51" t="str">
        <f>'[2]Dispersión Gto de Staff'!J46+[4]ND!J23+[5]Hoja1!Z97</f>
        <v>#ERROR!</v>
      </c>
      <c r="K37" s="51" t="str">
        <f>'[2]Dispersión Gto de Staff'!K46+[4]ND!K23+[5]Hoja1!AA97</f>
        <v>#ERROR!</v>
      </c>
      <c r="L37" s="51" t="str">
        <f>'[2]Dispersión Gto de Staff'!L46+[4]ND!L23+[5]Hoja1!AB97</f>
        <v>#ERROR!</v>
      </c>
      <c r="M37" s="51" t="str">
        <f>'[2]Dispersión Gto de Staff'!M46+[4]ND!M23+[5]Hoja1!AC97</f>
        <v>#ERROR!</v>
      </c>
      <c r="N37" s="51" t="str">
        <f>'[2]Dispersión Gto de Staff'!N46+[4]ND!N23+[5]Hoja1!AD97</f>
        <v>#ERROR!</v>
      </c>
      <c r="O37" s="51" t="str">
        <f t="shared" si="38"/>
        <v>#ERROR!</v>
      </c>
    </row>
    <row r="38" ht="15.75" customHeight="1">
      <c r="B38" s="68" t="s">
        <v>43</v>
      </c>
      <c r="C38" s="51" t="str">
        <f>'[2]Dispersión Gto de Staff'!C47+[4]ND!C24</f>
        <v>#ERROR!</v>
      </c>
      <c r="D38" s="51" t="str">
        <f>'[2]Dispersión Gto de Staff'!D47+[4]ND!D24</f>
        <v>#ERROR!</v>
      </c>
      <c r="E38" s="51" t="str">
        <f>'[2]Dispersión Gto de Staff'!E47+[4]ND!E24</f>
        <v>#ERROR!</v>
      </c>
      <c r="F38" s="51" t="str">
        <f>'[2]Dispersión Gto de Staff'!F47+[4]ND!F24</f>
        <v>#ERROR!</v>
      </c>
      <c r="G38" s="51" t="str">
        <f>'[2]Dispersión Gto de Staff'!G47+[4]ND!G24</f>
        <v>#ERROR!</v>
      </c>
      <c r="H38" s="51" t="str">
        <f>'[2]Dispersión Gto de Staff'!H47+[4]ND!H24</f>
        <v>#ERROR!</v>
      </c>
      <c r="I38" s="51" t="str">
        <f>'[2]Dispersión Gto de Staff'!I47+[4]ND!I24</f>
        <v>#ERROR!</v>
      </c>
      <c r="J38" s="51" t="str">
        <f>'[2]Dispersión Gto de Staff'!J47+[4]ND!J24</f>
        <v>#ERROR!</v>
      </c>
      <c r="K38" s="51" t="str">
        <f>'[2]Dispersión Gto de Staff'!K47+[4]ND!K24</f>
        <v>#ERROR!</v>
      </c>
      <c r="L38" s="51" t="str">
        <f>'[2]Dispersión Gto de Staff'!L47+[4]ND!L24</f>
        <v>#ERROR!</v>
      </c>
      <c r="M38" s="51" t="str">
        <f>'[2]Dispersión Gto de Staff'!M47+[4]ND!M24</f>
        <v>#ERROR!</v>
      </c>
      <c r="N38" s="51" t="str">
        <f>'[2]Dispersión Gto de Staff'!N47+[4]ND!N24</f>
        <v>#ERROR!</v>
      </c>
      <c r="O38" s="51" t="str">
        <f t="shared" si="38"/>
        <v>#ERROR!</v>
      </c>
    </row>
    <row r="39" ht="15.75" customHeight="1">
      <c r="B39" s="68" t="s">
        <v>81</v>
      </c>
      <c r="C39" s="51" t="str">
        <f>+'[2]Dispersión Gto de Staff'!C50+[6]FDS!B106</f>
        <v>#ERROR!</v>
      </c>
      <c r="D39" s="51" t="str">
        <f>+'[2]Dispersión Gto de Staff'!D50+[6]FDS!C106</f>
        <v>#ERROR!</v>
      </c>
      <c r="E39" s="51" t="str">
        <f>+'[2]Dispersión Gto de Staff'!E50+[6]FDS!D106</f>
        <v>#ERROR!</v>
      </c>
      <c r="F39" s="51" t="str">
        <f>+'[2]Dispersión Gto de Staff'!F50+[6]FDS!E106</f>
        <v>#ERROR!</v>
      </c>
      <c r="G39" s="51" t="str">
        <f>+'[2]Dispersión Gto de Staff'!G50+[6]FDS!F106</f>
        <v>#ERROR!</v>
      </c>
      <c r="H39" s="51" t="str">
        <f>+'[2]Dispersión Gto de Staff'!H50+[6]FDS!G106</f>
        <v>#ERROR!</v>
      </c>
      <c r="I39" s="51" t="str">
        <f>+'[2]Dispersión Gto de Staff'!I50+[6]FDS!H106</f>
        <v>#ERROR!</v>
      </c>
      <c r="J39" s="51" t="str">
        <f>+'[2]Dispersión Gto de Staff'!J50+[6]FDS!I106</f>
        <v>#ERROR!</v>
      </c>
      <c r="K39" s="51" t="str">
        <f>+'[2]Dispersión Gto de Staff'!K50+[6]FDS!J106</f>
        <v>#ERROR!</v>
      </c>
      <c r="L39" s="51" t="str">
        <f>+'[2]Dispersión Gto de Staff'!L50+[6]FDS!K106</f>
        <v>#ERROR!</v>
      </c>
      <c r="M39" s="51" t="str">
        <f>+'[2]Dispersión Gto de Staff'!M50+[6]FDS!L106</f>
        <v>#ERROR!</v>
      </c>
      <c r="N39" s="51" t="str">
        <f>+'[2]Dispersión Gto de Staff'!N50+[6]FDS!M106</f>
        <v>#ERROR!</v>
      </c>
      <c r="O39" s="51" t="str">
        <f t="shared" si="38"/>
        <v>#ERROR!</v>
      </c>
    </row>
    <row r="40" ht="15.75" customHeight="1">
      <c r="B40" s="68" t="s">
        <v>82</v>
      </c>
      <c r="C40" s="51" t="str">
        <f t="shared" ref="C40:N40" si="39">+'[2]Dispersión Gto de Staff'!C51</f>
        <v>#REF!</v>
      </c>
      <c r="D40" s="51" t="str">
        <f t="shared" si="39"/>
        <v>#REF!</v>
      </c>
      <c r="E40" s="51" t="str">
        <f t="shared" si="39"/>
        <v>#REF!</v>
      </c>
      <c r="F40" s="51" t="str">
        <f t="shared" si="39"/>
        <v>#REF!</v>
      </c>
      <c r="G40" s="51" t="str">
        <f t="shared" si="39"/>
        <v>#REF!</v>
      </c>
      <c r="H40" s="51" t="str">
        <f t="shared" si="39"/>
        <v>#REF!</v>
      </c>
      <c r="I40" s="51" t="str">
        <f t="shared" si="39"/>
        <v>#REF!</v>
      </c>
      <c r="J40" s="51" t="str">
        <f t="shared" si="39"/>
        <v>#REF!</v>
      </c>
      <c r="K40" s="51" t="str">
        <f t="shared" si="39"/>
        <v>#REF!</v>
      </c>
      <c r="L40" s="51" t="str">
        <f t="shared" si="39"/>
        <v>#REF!</v>
      </c>
      <c r="M40" s="51" t="str">
        <f t="shared" si="39"/>
        <v>#REF!</v>
      </c>
      <c r="N40" s="51" t="str">
        <f t="shared" si="39"/>
        <v>#REF!</v>
      </c>
      <c r="O40" s="51" t="str">
        <f t="shared" si="38"/>
        <v>#REF!</v>
      </c>
    </row>
    <row r="41" ht="15.75" customHeight="1">
      <c r="B41" s="68" t="s">
        <v>44</v>
      </c>
      <c r="C41" s="51" t="str">
        <f>'[2]Dispersión Gto de Staff'!C52+[4]ND!C26+[5]Hoja1!S98</f>
        <v>#ERROR!</v>
      </c>
      <c r="D41" s="51" t="str">
        <f>'[2]Dispersión Gto de Staff'!D52+[4]ND!D26+[5]Hoja1!T98</f>
        <v>#ERROR!</v>
      </c>
      <c r="E41" s="51" t="str">
        <f>'[2]Dispersión Gto de Staff'!E52+[4]ND!E26+[5]Hoja1!U98</f>
        <v>#ERROR!</v>
      </c>
      <c r="F41" s="51" t="str">
        <f>'[2]Dispersión Gto de Staff'!F52+[4]ND!F26+[5]Hoja1!V98</f>
        <v>#ERROR!</v>
      </c>
      <c r="G41" s="51" t="str">
        <f>'[2]Dispersión Gto de Staff'!G52+[4]ND!G26+[5]Hoja1!W98</f>
        <v>#ERROR!</v>
      </c>
      <c r="H41" s="51" t="str">
        <f>'[2]Dispersión Gto de Staff'!H52+[4]ND!H26+[5]Hoja1!X98</f>
        <v>#ERROR!</v>
      </c>
      <c r="I41" s="51" t="str">
        <f>'[2]Dispersión Gto de Staff'!I52+[4]ND!I26+[5]Hoja1!Y98</f>
        <v>#ERROR!</v>
      </c>
      <c r="J41" s="51" t="str">
        <f>'[2]Dispersión Gto de Staff'!J52+[4]ND!J26+[5]Hoja1!Z98</f>
        <v>#ERROR!</v>
      </c>
      <c r="K41" s="51" t="str">
        <f>'[2]Dispersión Gto de Staff'!K52+[4]ND!K26+[5]Hoja1!AA98</f>
        <v>#ERROR!</v>
      </c>
      <c r="L41" s="51" t="str">
        <f>'[2]Dispersión Gto de Staff'!L52+[4]ND!L26+[5]Hoja1!AB98</f>
        <v>#ERROR!</v>
      </c>
      <c r="M41" s="51" t="str">
        <f>'[2]Dispersión Gto de Staff'!M52+[4]ND!M26+[5]Hoja1!AC98</f>
        <v>#ERROR!</v>
      </c>
      <c r="N41" s="51" t="str">
        <f>'[2]Dispersión Gto de Staff'!N52+[4]ND!N26+[5]Hoja1!AD98</f>
        <v>#ERROR!</v>
      </c>
      <c r="O41" s="51" t="str">
        <f t="shared" si="38"/>
        <v>#ERROR!</v>
      </c>
    </row>
    <row r="42" ht="15.75" customHeight="1">
      <c r="B42" s="68" t="s">
        <v>45</v>
      </c>
      <c r="C42" s="51" t="str">
        <f>('[2]Dispersión Gto de Staff'!C53+[4]ND!C27)*98%</f>
        <v>#ERROR!</v>
      </c>
      <c r="D42" s="51" t="str">
        <f>('[2]Dispersión Gto de Staff'!D53+[4]ND!D27)*98%</f>
        <v>#ERROR!</v>
      </c>
      <c r="E42" s="51" t="str">
        <f>('[2]Dispersión Gto de Staff'!E53+[4]ND!E27)*98%</f>
        <v>#ERROR!</v>
      </c>
      <c r="F42" s="51" t="str">
        <f>('[2]Dispersión Gto de Staff'!F53+[4]ND!F27)*98%</f>
        <v>#ERROR!</v>
      </c>
      <c r="G42" s="51" t="str">
        <f>('[2]Dispersión Gto de Staff'!G53+[4]ND!G27)*98%</f>
        <v>#ERROR!</v>
      </c>
      <c r="H42" s="51" t="str">
        <f>('[2]Dispersión Gto de Staff'!H53+[4]ND!H27)*98%</f>
        <v>#ERROR!</v>
      </c>
      <c r="I42" s="51" t="str">
        <f>('[2]Dispersión Gto de Staff'!I53+[4]ND!I27)*98%</f>
        <v>#ERROR!</v>
      </c>
      <c r="J42" s="51" t="str">
        <f>('[2]Dispersión Gto de Staff'!J53+[4]ND!J27)*98%</f>
        <v>#ERROR!</v>
      </c>
      <c r="K42" s="51" t="str">
        <f>('[2]Dispersión Gto de Staff'!K53+[4]ND!K27)*98%</f>
        <v>#ERROR!</v>
      </c>
      <c r="L42" s="51" t="str">
        <f>('[2]Dispersión Gto de Staff'!L53+[4]ND!L27)*98%</f>
        <v>#ERROR!</v>
      </c>
      <c r="M42" s="51" t="str">
        <f>('[2]Dispersión Gto de Staff'!M53+[4]ND!M27)*98%</f>
        <v>#ERROR!</v>
      </c>
      <c r="N42" s="51" t="str">
        <f>('[2]Dispersión Gto de Staff'!N53+[4]ND!N27)*98%</f>
        <v>#ERROR!</v>
      </c>
      <c r="O42" s="51" t="str">
        <f t="shared" si="38"/>
        <v>#ERROR!</v>
      </c>
    </row>
    <row r="43" ht="15.75" customHeight="1">
      <c r="B43" s="68" t="s">
        <v>46</v>
      </c>
      <c r="C43" s="51" t="str">
        <f t="shared" ref="C43:N43" si="40">+'[2]Dispersión Gto de Staff'!C54</f>
        <v>#REF!</v>
      </c>
      <c r="D43" s="51" t="str">
        <f t="shared" si="40"/>
        <v>#REF!</v>
      </c>
      <c r="E43" s="51" t="str">
        <f t="shared" si="40"/>
        <v>#REF!</v>
      </c>
      <c r="F43" s="51" t="str">
        <f t="shared" si="40"/>
        <v>#REF!</v>
      </c>
      <c r="G43" s="51" t="str">
        <f t="shared" si="40"/>
        <v>#REF!</v>
      </c>
      <c r="H43" s="51" t="str">
        <f t="shared" si="40"/>
        <v>#REF!</v>
      </c>
      <c r="I43" s="51" t="str">
        <f t="shared" si="40"/>
        <v>#REF!</v>
      </c>
      <c r="J43" s="51" t="str">
        <f t="shared" si="40"/>
        <v>#REF!</v>
      </c>
      <c r="K43" s="51" t="str">
        <f t="shared" si="40"/>
        <v>#REF!</v>
      </c>
      <c r="L43" s="51" t="str">
        <f t="shared" si="40"/>
        <v>#REF!</v>
      </c>
      <c r="M43" s="51" t="str">
        <f t="shared" si="40"/>
        <v>#REF!</v>
      </c>
      <c r="N43" s="51" t="str">
        <f t="shared" si="40"/>
        <v>#REF!</v>
      </c>
      <c r="O43" s="51" t="str">
        <f t="shared" si="38"/>
        <v>#REF!</v>
      </c>
    </row>
    <row r="44" ht="15.75" customHeight="1">
      <c r="B44" s="59" t="s">
        <v>49</v>
      </c>
      <c r="C44" s="60" t="str">
        <f t="shared" ref="C44:O44" si="41">SUM(C36:C43)</f>
        <v>#REF!</v>
      </c>
      <c r="D44" s="60" t="str">
        <f t="shared" si="41"/>
        <v>#REF!</v>
      </c>
      <c r="E44" s="60" t="str">
        <f t="shared" si="41"/>
        <v>#REF!</v>
      </c>
      <c r="F44" s="60" t="str">
        <f t="shared" si="41"/>
        <v>#REF!</v>
      </c>
      <c r="G44" s="60" t="str">
        <f t="shared" si="41"/>
        <v>#REF!</v>
      </c>
      <c r="H44" s="60" t="str">
        <f t="shared" si="41"/>
        <v>#REF!</v>
      </c>
      <c r="I44" s="60" t="str">
        <f t="shared" si="41"/>
        <v>#REF!</v>
      </c>
      <c r="J44" s="60" t="str">
        <f t="shared" si="41"/>
        <v>#REF!</v>
      </c>
      <c r="K44" s="60" t="str">
        <f t="shared" si="41"/>
        <v>#REF!</v>
      </c>
      <c r="L44" s="60" t="str">
        <f t="shared" si="41"/>
        <v>#REF!</v>
      </c>
      <c r="M44" s="60" t="str">
        <f t="shared" si="41"/>
        <v>#REF!</v>
      </c>
      <c r="N44" s="60" t="str">
        <f t="shared" si="41"/>
        <v>#REF!</v>
      </c>
      <c r="O44" s="60" t="str">
        <f t="shared" si="41"/>
        <v>#REF!</v>
      </c>
    </row>
    <row r="45" ht="15.75" customHeight="1">
      <c r="B45" s="95" t="s">
        <v>50</v>
      </c>
      <c r="C45" s="96" t="str">
        <f t="shared" ref="C45:O45" si="42">+C35+C44</f>
        <v>#REF!</v>
      </c>
      <c r="D45" s="96" t="str">
        <f t="shared" si="42"/>
        <v>#REF!</v>
      </c>
      <c r="E45" s="96" t="str">
        <f t="shared" si="42"/>
        <v>#REF!</v>
      </c>
      <c r="F45" s="96" t="str">
        <f t="shared" si="42"/>
        <v>#REF!</v>
      </c>
      <c r="G45" s="96" t="str">
        <f t="shared" si="42"/>
        <v>#REF!</v>
      </c>
      <c r="H45" s="96" t="str">
        <f t="shared" si="42"/>
        <v>#REF!</v>
      </c>
      <c r="I45" s="96" t="str">
        <f t="shared" si="42"/>
        <v>#REF!</v>
      </c>
      <c r="J45" s="96" t="str">
        <f t="shared" si="42"/>
        <v>#REF!</v>
      </c>
      <c r="K45" s="96" t="str">
        <f t="shared" si="42"/>
        <v>#REF!</v>
      </c>
      <c r="L45" s="96" t="str">
        <f t="shared" si="42"/>
        <v>#REF!</v>
      </c>
      <c r="M45" s="96" t="str">
        <f t="shared" si="42"/>
        <v>#REF!</v>
      </c>
      <c r="N45" s="96" t="str">
        <f t="shared" si="42"/>
        <v>#REF!</v>
      </c>
      <c r="O45" s="96" t="str">
        <f t="shared" si="42"/>
        <v>#REF!</v>
      </c>
    </row>
    <row r="46" ht="15.75" customHeight="1">
      <c r="J46" s="1"/>
      <c r="K46" s="1"/>
      <c r="L46" s="1"/>
      <c r="M46" s="1"/>
      <c r="N46" s="1"/>
      <c r="O46" s="1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7">
    <mergeCell ref="R3:S4"/>
    <mergeCell ref="T3:U4"/>
    <mergeCell ref="V3:W4"/>
    <mergeCell ref="X3:X4"/>
    <mergeCell ref="Y3:AB3"/>
    <mergeCell ref="Y4:Z4"/>
    <mergeCell ref="AA4:AB4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4.43" defaultRowHeight="15.0" outlineLevelCol="1"/>
  <cols>
    <col customWidth="1" min="1" max="1" width="11.43"/>
    <col customWidth="1" min="2" max="2" width="31.86"/>
    <col customWidth="1" min="3" max="14" width="10.86" outlineLevel="1"/>
    <col customWidth="1" min="15" max="16" width="11.43"/>
  </cols>
  <sheetData>
    <row r="1">
      <c r="B1" s="2" t="s">
        <v>83</v>
      </c>
    </row>
    <row r="4" ht="14.25" customHeight="1"/>
    <row r="5">
      <c r="B5" s="41" t="s">
        <v>28</v>
      </c>
      <c r="C5" s="42">
        <v>46023.0</v>
      </c>
      <c r="D5" s="42">
        <v>46054.0</v>
      </c>
      <c r="E5" s="42">
        <v>46082.0</v>
      </c>
      <c r="F5" s="42">
        <v>46113.0</v>
      </c>
      <c r="G5" s="42">
        <v>46143.0</v>
      </c>
      <c r="H5" s="43">
        <v>46174.0</v>
      </c>
      <c r="I5" s="43">
        <v>46204.0</v>
      </c>
      <c r="J5" s="43">
        <v>46235.0</v>
      </c>
      <c r="K5" s="43">
        <v>46266.0</v>
      </c>
      <c r="L5" s="43">
        <v>46296.0</v>
      </c>
      <c r="M5" s="43">
        <v>46327.0</v>
      </c>
      <c r="N5" s="43">
        <v>46357.0</v>
      </c>
      <c r="O5" s="44" t="s">
        <v>19</v>
      </c>
    </row>
    <row r="6">
      <c r="B6" s="50" t="s">
        <v>30</v>
      </c>
      <c r="C6" s="51">
        <v>0.0</v>
      </c>
      <c r="D6" s="51">
        <v>0.0</v>
      </c>
      <c r="E6" s="51">
        <v>0.0</v>
      </c>
      <c r="F6" s="51">
        <v>0.0</v>
      </c>
      <c r="G6" s="51">
        <v>0.0</v>
      </c>
      <c r="H6" s="51">
        <v>0.0</v>
      </c>
      <c r="I6" s="51">
        <v>0.0</v>
      </c>
      <c r="J6" s="51">
        <v>0.0</v>
      </c>
      <c r="K6" s="51">
        <v>0.0</v>
      </c>
      <c r="L6" s="51">
        <v>0.0</v>
      </c>
      <c r="M6" s="51">
        <v>0.0</v>
      </c>
      <c r="N6" s="51">
        <v>0.0</v>
      </c>
      <c r="O6" s="51" t="str">
        <f t="shared" ref="O6:O7" si="1">+SUM(C6:N6)</f>
        <v>  -   </v>
      </c>
    </row>
    <row r="7">
      <c r="B7" s="50" t="s">
        <v>31</v>
      </c>
      <c r="C7" s="51">
        <v>0.0</v>
      </c>
      <c r="D7" s="51">
        <v>0.0</v>
      </c>
      <c r="E7" s="51">
        <v>0.0</v>
      </c>
      <c r="F7" s="51">
        <v>0.0</v>
      </c>
      <c r="G7" s="51">
        <v>0.0</v>
      </c>
      <c r="H7" s="51">
        <v>0.0</v>
      </c>
      <c r="I7" s="51">
        <v>0.0</v>
      </c>
      <c r="J7" s="51">
        <v>0.0</v>
      </c>
      <c r="K7" s="51">
        <v>0.0</v>
      </c>
      <c r="L7" s="51">
        <v>0.0</v>
      </c>
      <c r="M7" s="51">
        <v>0.0</v>
      </c>
      <c r="N7" s="51">
        <v>0.0</v>
      </c>
      <c r="O7" s="51" t="str">
        <f t="shared" si="1"/>
        <v>  -   </v>
      </c>
    </row>
    <row r="8">
      <c r="B8" s="59" t="s">
        <v>32</v>
      </c>
      <c r="C8" s="60" t="str">
        <f t="shared" ref="C8:D8" si="2">C6+C7</f>
        <v>  -   </v>
      </c>
      <c r="D8" s="60" t="str">
        <f t="shared" si="2"/>
        <v>  -   </v>
      </c>
      <c r="E8" s="60" t="str">
        <f t="shared" ref="E8:O8" si="3">E7+E6</f>
        <v>  -   </v>
      </c>
      <c r="F8" s="60" t="str">
        <f t="shared" si="3"/>
        <v>  -   </v>
      </c>
      <c r="G8" s="60" t="str">
        <f t="shared" si="3"/>
        <v>  -   </v>
      </c>
      <c r="H8" s="60" t="str">
        <f t="shared" si="3"/>
        <v>  -   </v>
      </c>
      <c r="I8" s="60" t="str">
        <f t="shared" si="3"/>
        <v>  -   </v>
      </c>
      <c r="J8" s="60" t="str">
        <f t="shared" si="3"/>
        <v>  -   </v>
      </c>
      <c r="K8" s="60" t="str">
        <f t="shared" si="3"/>
        <v>  -   </v>
      </c>
      <c r="L8" s="60" t="str">
        <f t="shared" si="3"/>
        <v>  -   </v>
      </c>
      <c r="M8" s="60" t="str">
        <f t="shared" si="3"/>
        <v>  -   </v>
      </c>
      <c r="N8" s="60" t="str">
        <f t="shared" si="3"/>
        <v>  -   </v>
      </c>
      <c r="O8" s="60" t="str">
        <f t="shared" si="3"/>
        <v>  -   </v>
      </c>
    </row>
    <row r="9">
      <c r="B9" s="68" t="s">
        <v>63</v>
      </c>
      <c r="C9" s="51">
        <v>0.0</v>
      </c>
      <c r="D9" s="51">
        <v>0.0</v>
      </c>
      <c r="E9" s="51">
        <v>0.0</v>
      </c>
      <c r="F9" s="51">
        <v>0.0</v>
      </c>
      <c r="G9" s="51">
        <v>0.0</v>
      </c>
      <c r="H9" s="51">
        <v>0.0</v>
      </c>
      <c r="I9" s="51">
        <v>0.0</v>
      </c>
      <c r="J9" s="51">
        <v>0.0</v>
      </c>
      <c r="K9" s="51">
        <v>0.0</v>
      </c>
      <c r="L9" s="51">
        <v>0.0</v>
      </c>
      <c r="M9" s="51">
        <v>0.0</v>
      </c>
      <c r="N9" s="51">
        <v>0.0</v>
      </c>
      <c r="O9" s="51" t="str">
        <f>+SUM(C9:N9)</f>
        <v>  -   </v>
      </c>
    </row>
    <row r="10">
      <c r="B10" s="119" t="s">
        <v>37</v>
      </c>
      <c r="C10" s="71" t="str">
        <f t="shared" ref="C10:O10" si="4">SUM(C9)</f>
        <v>  -   </v>
      </c>
      <c r="D10" s="71" t="str">
        <f t="shared" si="4"/>
        <v>  -   </v>
      </c>
      <c r="E10" s="71" t="str">
        <f t="shared" si="4"/>
        <v>  -   </v>
      </c>
      <c r="F10" s="71" t="str">
        <f t="shared" si="4"/>
        <v>  -   </v>
      </c>
      <c r="G10" s="71" t="str">
        <f t="shared" si="4"/>
        <v>  -   </v>
      </c>
      <c r="H10" s="71" t="str">
        <f t="shared" si="4"/>
        <v>  -   </v>
      </c>
      <c r="I10" s="71" t="str">
        <f t="shared" si="4"/>
        <v>  -   </v>
      </c>
      <c r="J10" s="71" t="str">
        <f t="shared" si="4"/>
        <v>  -   </v>
      </c>
      <c r="K10" s="71" t="str">
        <f t="shared" si="4"/>
        <v>  -   </v>
      </c>
      <c r="L10" s="71" t="str">
        <f t="shared" si="4"/>
        <v>  -   </v>
      </c>
      <c r="M10" s="71" t="str">
        <f t="shared" si="4"/>
        <v>  -   </v>
      </c>
      <c r="N10" s="71" t="str">
        <f t="shared" si="4"/>
        <v>  -   </v>
      </c>
      <c r="O10" s="71" t="str">
        <f t="shared" si="4"/>
        <v>  -   </v>
      </c>
    </row>
    <row r="11">
      <c r="B11" s="59" t="s">
        <v>38</v>
      </c>
      <c r="C11" s="60" t="str">
        <f t="shared" ref="C11:O11" si="5">C8+C10</f>
        <v>  -   </v>
      </c>
      <c r="D11" s="60" t="str">
        <f t="shared" si="5"/>
        <v>  -   </v>
      </c>
      <c r="E11" s="60" t="str">
        <f t="shared" si="5"/>
        <v>  -   </v>
      </c>
      <c r="F11" s="60" t="str">
        <f t="shared" si="5"/>
        <v>  -   </v>
      </c>
      <c r="G11" s="60" t="str">
        <f t="shared" si="5"/>
        <v>  -   </v>
      </c>
      <c r="H11" s="60" t="str">
        <f t="shared" si="5"/>
        <v>  -   </v>
      </c>
      <c r="I11" s="60" t="str">
        <f t="shared" si="5"/>
        <v>  -   </v>
      </c>
      <c r="J11" s="60" t="str">
        <f t="shared" si="5"/>
        <v>  -   </v>
      </c>
      <c r="K11" s="60" t="str">
        <f t="shared" si="5"/>
        <v>  -   </v>
      </c>
      <c r="L11" s="60" t="str">
        <f t="shared" si="5"/>
        <v>  -   </v>
      </c>
      <c r="M11" s="60" t="str">
        <f t="shared" si="5"/>
        <v>  -   </v>
      </c>
      <c r="N11" s="60" t="str">
        <f t="shared" si="5"/>
        <v>  -   </v>
      </c>
      <c r="O11" s="60" t="str">
        <f t="shared" si="5"/>
        <v>  -   </v>
      </c>
    </row>
    <row r="12">
      <c r="B12" s="68" t="s">
        <v>39</v>
      </c>
      <c r="C12" s="51">
        <v>-1.8117178100000002</v>
      </c>
      <c r="D12" s="51">
        <v>-1.6389809</v>
      </c>
      <c r="E12" s="51">
        <v>-1.5457218199999998</v>
      </c>
      <c r="F12" s="51">
        <v>-1.54914273</v>
      </c>
      <c r="G12" s="51">
        <v>-1.45276827</v>
      </c>
      <c r="H12" s="51">
        <v>-2.6330829869823074</v>
      </c>
      <c r="I12" s="51">
        <v>-2.5892208710596627</v>
      </c>
      <c r="J12" s="51">
        <v>-3.156579980200944</v>
      </c>
      <c r="K12" s="51">
        <v>-2.6541800219284455</v>
      </c>
      <c r="L12" s="51">
        <v>-2.6736630969837867</v>
      </c>
      <c r="M12" s="51">
        <v>-2.607217643678606</v>
      </c>
      <c r="N12" s="51">
        <v>-2.546161643830847</v>
      </c>
      <c r="O12" s="51" t="str">
        <f t="shared" ref="O12:O16" si="6">+SUM(C12:N12)</f>
        <v>  (26.9)</v>
      </c>
    </row>
    <row r="13">
      <c r="B13" s="68" t="s">
        <v>41</v>
      </c>
      <c r="C13" s="51">
        <v>-0.04702357</v>
      </c>
      <c r="D13" s="51">
        <v>-0.10927735000000001</v>
      </c>
      <c r="E13" s="51">
        <v>-0.034762379999999996</v>
      </c>
      <c r="F13" s="51">
        <v>-0.23405343000000003</v>
      </c>
      <c r="G13" s="51">
        <v>-0.14745757999999998</v>
      </c>
      <c r="H13" s="51">
        <v>-0.043022463017693045</v>
      </c>
      <c r="I13" s="51">
        <v>-0.049884578940338084</v>
      </c>
      <c r="J13" s="51">
        <v>-0.043525469799056395</v>
      </c>
      <c r="K13" s="51">
        <v>-0.04514765029377721</v>
      </c>
      <c r="L13" s="51">
        <v>-0.042664575238435656</v>
      </c>
      <c r="M13" s="51">
        <v>-0.04811002854361622</v>
      </c>
      <c r="N13" s="51">
        <v>-0.04016602839137517</v>
      </c>
      <c r="O13" s="51" t="str">
        <f t="shared" si="6"/>
        <v>  (0.9)</v>
      </c>
    </row>
    <row r="14">
      <c r="B14" s="68" t="s">
        <v>44</v>
      </c>
      <c r="C14" s="51">
        <v>0.0</v>
      </c>
      <c r="D14" s="51">
        <v>0.0</v>
      </c>
      <c r="E14" s="51">
        <v>0.0</v>
      </c>
      <c r="F14" s="51">
        <v>0.0</v>
      </c>
      <c r="G14" s="51">
        <v>0.0</v>
      </c>
      <c r="H14" s="51">
        <v>0.0</v>
      </c>
      <c r="I14" s="51">
        <v>0.0</v>
      </c>
      <c r="J14" s="51">
        <v>0.0</v>
      </c>
      <c r="K14" s="51">
        <v>0.0</v>
      </c>
      <c r="L14" s="51">
        <v>0.0</v>
      </c>
      <c r="M14" s="51">
        <v>0.0</v>
      </c>
      <c r="N14" s="51">
        <v>0.0</v>
      </c>
      <c r="O14" s="51" t="str">
        <f t="shared" si="6"/>
        <v>  -   </v>
      </c>
    </row>
    <row r="15">
      <c r="B15" s="68" t="s">
        <v>45</v>
      </c>
      <c r="C15" s="51">
        <v>0.0</v>
      </c>
      <c r="D15" s="51">
        <v>0.0</v>
      </c>
      <c r="E15" s="51">
        <v>0.0</v>
      </c>
      <c r="F15" s="51">
        <v>0.0</v>
      </c>
      <c r="G15" s="51">
        <v>0.0</v>
      </c>
      <c r="H15" s="51">
        <v>0.0</v>
      </c>
      <c r="I15" s="51">
        <v>0.0</v>
      </c>
      <c r="J15" s="51">
        <v>0.0</v>
      </c>
      <c r="K15" s="51">
        <v>0.0</v>
      </c>
      <c r="L15" s="51">
        <v>0.0</v>
      </c>
      <c r="M15" s="51">
        <v>0.0</v>
      </c>
      <c r="N15" s="51">
        <v>0.0</v>
      </c>
      <c r="O15" s="51" t="str">
        <f t="shared" si="6"/>
        <v>  -   </v>
      </c>
    </row>
    <row r="16">
      <c r="B16" s="68" t="s">
        <v>46</v>
      </c>
      <c r="C16" s="51">
        <v>0.0</v>
      </c>
      <c r="D16" s="51">
        <v>0.0</v>
      </c>
      <c r="E16" s="51">
        <v>0.0</v>
      </c>
      <c r="F16" s="51">
        <v>0.0</v>
      </c>
      <c r="G16" s="51">
        <v>0.0</v>
      </c>
      <c r="H16" s="51">
        <v>0.0</v>
      </c>
      <c r="I16" s="51">
        <v>0.0</v>
      </c>
      <c r="J16" s="51">
        <v>0.0</v>
      </c>
      <c r="K16" s="51">
        <v>0.0</v>
      </c>
      <c r="L16" s="51">
        <v>0.0</v>
      </c>
      <c r="M16" s="51">
        <v>0.0</v>
      </c>
      <c r="N16" s="51">
        <v>0.0</v>
      </c>
      <c r="O16" s="51" t="str">
        <f t="shared" si="6"/>
        <v>  -   </v>
      </c>
    </row>
    <row r="17">
      <c r="B17" s="59" t="s">
        <v>49</v>
      </c>
      <c r="C17" s="60" t="str">
        <f t="shared" ref="C17:O17" si="7">SUM(C12:C16)</f>
        <v>  (1.9)</v>
      </c>
      <c r="D17" s="60" t="str">
        <f t="shared" si="7"/>
        <v>  (1.7)</v>
      </c>
      <c r="E17" s="60" t="str">
        <f t="shared" si="7"/>
        <v>  (1.6)</v>
      </c>
      <c r="F17" s="60" t="str">
        <f t="shared" si="7"/>
        <v>  (1.8)</v>
      </c>
      <c r="G17" s="60" t="str">
        <f t="shared" si="7"/>
        <v>  (1.6)</v>
      </c>
      <c r="H17" s="60" t="str">
        <f t="shared" si="7"/>
        <v>  (2.7)</v>
      </c>
      <c r="I17" s="60" t="str">
        <f t="shared" si="7"/>
        <v>  (2.6)</v>
      </c>
      <c r="J17" s="60" t="str">
        <f t="shared" si="7"/>
        <v>  (3.2)</v>
      </c>
      <c r="K17" s="60" t="str">
        <f t="shared" si="7"/>
        <v>  (2.7)</v>
      </c>
      <c r="L17" s="60" t="str">
        <f t="shared" si="7"/>
        <v>  (2.7)</v>
      </c>
      <c r="M17" s="60" t="str">
        <f t="shared" si="7"/>
        <v>  (2.7)</v>
      </c>
      <c r="N17" s="60" t="str">
        <f t="shared" si="7"/>
        <v>  (2.6)</v>
      </c>
      <c r="O17" s="60" t="str">
        <f t="shared" si="7"/>
        <v>  (27.7)</v>
      </c>
    </row>
    <row r="18">
      <c r="B18" s="77" t="s">
        <v>50</v>
      </c>
      <c r="C18" s="78" t="str">
        <f t="shared" ref="C18:O18" si="8">+C11+C17</f>
        <v>  (1.9)</v>
      </c>
      <c r="D18" s="78" t="str">
        <f t="shared" si="8"/>
        <v>  (1.7)</v>
      </c>
      <c r="E18" s="78" t="str">
        <f t="shared" si="8"/>
        <v>  (1.6)</v>
      </c>
      <c r="F18" s="78" t="str">
        <f t="shared" si="8"/>
        <v>  (1.8)</v>
      </c>
      <c r="G18" s="78" t="str">
        <f t="shared" si="8"/>
        <v>  (1.6)</v>
      </c>
      <c r="H18" s="79" t="str">
        <f t="shared" si="8"/>
        <v>  (2.7)</v>
      </c>
      <c r="I18" s="79" t="str">
        <f t="shared" si="8"/>
        <v>  (2.6)</v>
      </c>
      <c r="J18" s="79" t="str">
        <f t="shared" si="8"/>
        <v>  (3.2)</v>
      </c>
      <c r="K18" s="79" t="str">
        <f t="shared" si="8"/>
        <v>  (2.7)</v>
      </c>
      <c r="L18" s="79" t="str">
        <f t="shared" si="8"/>
        <v>  (2.7)</v>
      </c>
      <c r="M18" s="79" t="str">
        <f t="shared" si="8"/>
        <v>  (2.7)</v>
      </c>
      <c r="N18" s="79" t="str">
        <f t="shared" si="8"/>
        <v>  (2.6)</v>
      </c>
      <c r="O18" s="79" t="str">
        <f t="shared" si="8"/>
        <v>  (27.7)</v>
      </c>
    </row>
    <row r="21" ht="15.75" customHeight="1">
      <c r="A21" s="40"/>
      <c r="B21" s="89" t="s">
        <v>53</v>
      </c>
      <c r="C21" s="90">
        <v>46023.0</v>
      </c>
      <c r="D21" s="90">
        <v>46054.0</v>
      </c>
      <c r="E21" s="90">
        <v>46082.0</v>
      </c>
      <c r="F21" s="90">
        <v>46113.0</v>
      </c>
      <c r="G21" s="90">
        <v>46143.0</v>
      </c>
      <c r="H21" s="90">
        <v>46174.0</v>
      </c>
      <c r="I21" s="90">
        <v>46204.0</v>
      </c>
      <c r="J21" s="90">
        <v>46235.0</v>
      </c>
      <c r="K21" s="90">
        <v>46266.0</v>
      </c>
      <c r="L21" s="90">
        <v>46296.0</v>
      </c>
      <c r="M21" s="90">
        <v>46327.0</v>
      </c>
      <c r="N21" s="90">
        <v>46357.0</v>
      </c>
      <c r="O21" s="91" t="s">
        <v>19</v>
      </c>
    </row>
    <row r="22" ht="15.75" customHeight="1">
      <c r="B22" s="50" t="s">
        <v>30</v>
      </c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 t="str">
        <f t="shared" ref="O22:O23" si="9">+SUM(C22:N22)</f>
        <v>  -   </v>
      </c>
    </row>
    <row r="23" ht="15.75" customHeight="1">
      <c r="B23" s="50" t="s">
        <v>31</v>
      </c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 t="str">
        <f t="shared" si="9"/>
        <v>  -   </v>
      </c>
    </row>
    <row r="24" ht="15.75" customHeight="1">
      <c r="B24" s="59" t="s">
        <v>32</v>
      </c>
      <c r="C24" s="60" t="str">
        <f t="shared" ref="C24:D24" si="10">C22+C23</f>
        <v>  -   </v>
      </c>
      <c r="D24" s="60" t="str">
        <f t="shared" si="10"/>
        <v>  -   </v>
      </c>
      <c r="E24" s="60" t="str">
        <f t="shared" ref="E24:O24" si="11">E23+E22</f>
        <v>  -   </v>
      </c>
      <c r="F24" s="60" t="str">
        <f t="shared" si="11"/>
        <v>  -   </v>
      </c>
      <c r="G24" s="60" t="str">
        <f t="shared" si="11"/>
        <v>  -   </v>
      </c>
      <c r="H24" s="60" t="str">
        <f t="shared" si="11"/>
        <v>  -   </v>
      </c>
      <c r="I24" s="60" t="str">
        <f t="shared" si="11"/>
        <v>  -   </v>
      </c>
      <c r="J24" s="60" t="str">
        <f t="shared" si="11"/>
        <v>  -   </v>
      </c>
      <c r="K24" s="60" t="str">
        <f t="shared" si="11"/>
        <v>  -   </v>
      </c>
      <c r="L24" s="60" t="str">
        <f t="shared" si="11"/>
        <v>  -   </v>
      </c>
      <c r="M24" s="60" t="str">
        <f t="shared" si="11"/>
        <v>  -   </v>
      </c>
      <c r="N24" s="60" t="str">
        <f t="shared" si="11"/>
        <v>  -   </v>
      </c>
      <c r="O24" s="60" t="str">
        <f t="shared" si="11"/>
        <v>  -   </v>
      </c>
    </row>
    <row r="25" ht="15.75" customHeight="1">
      <c r="B25" s="68" t="s">
        <v>63</v>
      </c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 t="str">
        <f>+SUM(C25:N25)</f>
        <v>  -   </v>
      </c>
    </row>
    <row r="26" ht="15.75" customHeight="1">
      <c r="B26" s="119" t="s">
        <v>37</v>
      </c>
      <c r="C26" s="71" t="str">
        <f t="shared" ref="C26:O26" si="12">SUM(C25)</f>
        <v>  -   </v>
      </c>
      <c r="D26" s="71" t="str">
        <f t="shared" si="12"/>
        <v>  -   </v>
      </c>
      <c r="E26" s="71" t="str">
        <f t="shared" si="12"/>
        <v>  -   </v>
      </c>
      <c r="F26" s="71" t="str">
        <f t="shared" si="12"/>
        <v>  -   </v>
      </c>
      <c r="G26" s="71" t="str">
        <f t="shared" si="12"/>
        <v>  -   </v>
      </c>
      <c r="H26" s="71" t="str">
        <f t="shared" si="12"/>
        <v>  -   </v>
      </c>
      <c r="I26" s="71" t="str">
        <f t="shared" si="12"/>
        <v>  -   </v>
      </c>
      <c r="J26" s="71" t="str">
        <f t="shared" si="12"/>
        <v>  -   </v>
      </c>
      <c r="K26" s="71" t="str">
        <f t="shared" si="12"/>
        <v>  -   </v>
      </c>
      <c r="L26" s="71" t="str">
        <f t="shared" si="12"/>
        <v>  -   </v>
      </c>
      <c r="M26" s="71" t="str">
        <f t="shared" si="12"/>
        <v>  -   </v>
      </c>
      <c r="N26" s="71" t="str">
        <f t="shared" si="12"/>
        <v>  -   </v>
      </c>
      <c r="O26" s="71" t="str">
        <f t="shared" si="12"/>
        <v>  -   </v>
      </c>
    </row>
    <row r="27" ht="15.75" customHeight="1">
      <c r="B27" s="59" t="s">
        <v>38</v>
      </c>
      <c r="C27" s="60" t="str">
        <f t="shared" ref="C27:O27" si="13">C24+C26</f>
        <v>  -   </v>
      </c>
      <c r="D27" s="60" t="str">
        <f t="shared" si="13"/>
        <v>  -   </v>
      </c>
      <c r="E27" s="60" t="str">
        <f t="shared" si="13"/>
        <v>  -   </v>
      </c>
      <c r="F27" s="60" t="str">
        <f t="shared" si="13"/>
        <v>  -   </v>
      </c>
      <c r="G27" s="60" t="str">
        <f t="shared" si="13"/>
        <v>  -   </v>
      </c>
      <c r="H27" s="60" t="str">
        <f t="shared" si="13"/>
        <v>  -   </v>
      </c>
      <c r="I27" s="60" t="str">
        <f t="shared" si="13"/>
        <v>  -   </v>
      </c>
      <c r="J27" s="60" t="str">
        <f t="shared" si="13"/>
        <v>  -   </v>
      </c>
      <c r="K27" s="60" t="str">
        <f t="shared" si="13"/>
        <v>  -   </v>
      </c>
      <c r="L27" s="60" t="str">
        <f t="shared" si="13"/>
        <v>  -   </v>
      </c>
      <c r="M27" s="60" t="str">
        <f t="shared" si="13"/>
        <v>  -   </v>
      </c>
      <c r="N27" s="60" t="str">
        <f t="shared" si="13"/>
        <v>  -   </v>
      </c>
      <c r="O27" s="60" t="str">
        <f t="shared" si="13"/>
        <v>  -   </v>
      </c>
    </row>
    <row r="28" ht="15.75" customHeight="1">
      <c r="B28" s="68" t="s">
        <v>39</v>
      </c>
      <c r="C28" s="51">
        <v>-2.583147564979787</v>
      </c>
      <c r="D28" s="51">
        <v>-2.659589977942384</v>
      </c>
      <c r="E28" s="51">
        <v>-2.6778951680729315</v>
      </c>
      <c r="F28" s="51">
        <v>-2.5879923943590537</v>
      </c>
      <c r="G28" s="51">
        <v>-2.9461052805133123</v>
      </c>
      <c r="H28" s="51">
        <v>-2.6330829869823074</v>
      </c>
      <c r="I28" s="51">
        <v>-2.5892208710596627</v>
      </c>
      <c r="J28" s="51">
        <v>-3.156579980200944</v>
      </c>
      <c r="K28" s="51">
        <v>-2.6541800219284455</v>
      </c>
      <c r="L28" s="51">
        <v>-2.6736630969837867</v>
      </c>
      <c r="M28" s="51">
        <v>-2.607217643678606</v>
      </c>
      <c r="N28" s="51">
        <v>-2.546161643830847</v>
      </c>
      <c r="O28" s="51" t="str">
        <f t="shared" ref="O28:O32" si="14">+SUM(C28:N28)</f>
        <v>  (32.3)</v>
      </c>
    </row>
    <row r="29" ht="15.75" customHeight="1">
      <c r="B29" s="68" t="s">
        <v>41</v>
      </c>
      <c r="C29" s="51">
        <v>-0.056164605020213934</v>
      </c>
      <c r="D29" s="51">
        <v>-0.040515472057616686</v>
      </c>
      <c r="E29" s="51">
        <v>-0.049210281927069215</v>
      </c>
      <c r="F29" s="51">
        <v>-0.051113055640947105</v>
      </c>
      <c r="G29" s="51">
        <v>-0.05400016948668817</v>
      </c>
      <c r="H29" s="51">
        <v>-0.043022463017693045</v>
      </c>
      <c r="I29" s="51">
        <v>-0.049884578940338084</v>
      </c>
      <c r="J29" s="51">
        <v>-0.043525469799056395</v>
      </c>
      <c r="K29" s="51">
        <v>-0.04514765029377721</v>
      </c>
      <c r="L29" s="51">
        <v>-0.042664575238435656</v>
      </c>
      <c r="M29" s="51">
        <v>-0.04811002854361622</v>
      </c>
      <c r="N29" s="51">
        <v>-0.04016602839137517</v>
      </c>
      <c r="O29" s="51" t="str">
        <f t="shared" si="14"/>
        <v>  (0.6)</v>
      </c>
    </row>
    <row r="30" ht="15.75" customHeight="1">
      <c r="B30" s="68" t="s">
        <v>44</v>
      </c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 t="str">
        <f t="shared" si="14"/>
        <v>  -   </v>
      </c>
      <c r="P30" s="108"/>
    </row>
    <row r="31" ht="15.75" customHeight="1">
      <c r="B31" s="68" t="s">
        <v>45</v>
      </c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 t="str">
        <f t="shared" si="14"/>
        <v>  -   </v>
      </c>
    </row>
    <row r="32" ht="15.75" customHeight="1">
      <c r="B32" s="68" t="s">
        <v>46</v>
      </c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 t="str">
        <f t="shared" si="14"/>
        <v>  -   </v>
      </c>
    </row>
    <row r="33" ht="15.75" customHeight="1">
      <c r="B33" s="59" t="s">
        <v>49</v>
      </c>
      <c r="C33" s="60" t="str">
        <f t="shared" ref="C33:O33" si="15">SUM(C28:C32)</f>
        <v>  (2.6)</v>
      </c>
      <c r="D33" s="60" t="str">
        <f t="shared" si="15"/>
        <v>  (2.7)</v>
      </c>
      <c r="E33" s="60" t="str">
        <f t="shared" si="15"/>
        <v>  (2.7)</v>
      </c>
      <c r="F33" s="60" t="str">
        <f t="shared" si="15"/>
        <v>  (2.6)</v>
      </c>
      <c r="G33" s="60" t="str">
        <f t="shared" si="15"/>
        <v>  (3.0)</v>
      </c>
      <c r="H33" s="60" t="str">
        <f t="shared" si="15"/>
        <v>  (2.7)</v>
      </c>
      <c r="I33" s="60" t="str">
        <f t="shared" si="15"/>
        <v>  (2.6)</v>
      </c>
      <c r="J33" s="60" t="str">
        <f t="shared" si="15"/>
        <v>  (3.2)</v>
      </c>
      <c r="K33" s="60" t="str">
        <f t="shared" si="15"/>
        <v>  (2.7)</v>
      </c>
      <c r="L33" s="60" t="str">
        <f t="shared" si="15"/>
        <v>  (2.7)</v>
      </c>
      <c r="M33" s="60" t="str">
        <f t="shared" si="15"/>
        <v>  (2.7)</v>
      </c>
      <c r="N33" s="60" t="str">
        <f t="shared" si="15"/>
        <v>  (2.6)</v>
      </c>
      <c r="O33" s="60" t="str">
        <f t="shared" si="15"/>
        <v>  (32.9)</v>
      </c>
    </row>
    <row r="34" ht="15.75" customHeight="1">
      <c r="B34" s="95" t="s">
        <v>50</v>
      </c>
      <c r="C34" s="96" t="str">
        <f t="shared" ref="C34:O34" si="16">+C27+C33</f>
        <v>  (2.6)</v>
      </c>
      <c r="D34" s="96" t="str">
        <f t="shared" si="16"/>
        <v>  (2.7)</v>
      </c>
      <c r="E34" s="96" t="str">
        <f t="shared" si="16"/>
        <v>  (2.7)</v>
      </c>
      <c r="F34" s="96" t="str">
        <f t="shared" si="16"/>
        <v>  (2.6)</v>
      </c>
      <c r="G34" s="96" t="str">
        <f t="shared" si="16"/>
        <v>  (3.0)</v>
      </c>
      <c r="H34" s="96" t="str">
        <f t="shared" si="16"/>
        <v>  (2.7)</v>
      </c>
      <c r="I34" s="96" t="str">
        <f t="shared" si="16"/>
        <v>  (2.6)</v>
      </c>
      <c r="J34" s="96" t="str">
        <f t="shared" si="16"/>
        <v>  (3.2)</v>
      </c>
      <c r="K34" s="96" t="str">
        <f t="shared" si="16"/>
        <v>  (2.7)</v>
      </c>
      <c r="L34" s="96" t="str">
        <f t="shared" si="16"/>
        <v>  (2.7)</v>
      </c>
      <c r="M34" s="96" t="str">
        <f t="shared" si="16"/>
        <v>  (2.7)</v>
      </c>
      <c r="N34" s="96" t="str">
        <f t="shared" si="16"/>
        <v>  (2.6)</v>
      </c>
      <c r="O34" s="96" t="str">
        <f t="shared" si="16"/>
        <v>  (32.9)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Hojas de cálculo</vt:lpstr>
      </vt:variant>
      <vt:variant>
        <vt:i4>5</vt:i4>
      </vt:variant>
    </vt:vector>
  </HeadingPairs>
  <TitlesOfParts>
    <vt:vector baseType="lpstr" size="5">
      <vt:lpstr>Resumen</vt:lpstr>
      <vt:lpstr>MKT UNITED 26</vt:lpstr>
      <vt:lpstr>Mkt United + Troader 26</vt:lpstr>
      <vt:lpstr>Staff 26</vt:lpstr>
      <vt:lpstr>Ventas 26</vt:lpstr>
    </vt:vector>
  </TitlesOfParts>
  <LinksUpToDate>false</LinksUpToDate>
  <SharedDoc>false</SharedDoc>
  <HyperlinksChanged>false</HyperlinksChanged>
  <Application>Microsoft Macintosh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2026-03-24T23:59:19Z</dcterms:created>
  <dc:creator>Luz Isaura Quecha Valderrama</dc:creator>
  <cp:lastModifiedBy>Jose Manuel Munoz de Cote Boelsterly</cp:lastModifiedBy>
  <dcterms:modified xsi:type="dcterms:W3CDTF">2026-06-18T20:36:30Z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e3a633-3d5f-462b-ba19-31157bb9a57b_Enabled">
    <vt:lpwstr>true</vt:lpwstr>
  </property>
  <property fmtid="{D5CDD505-2E9C-101B-9397-08002B2CF9AE}" pid="3" name="MSIP_Label_8ae3a633-3d5f-462b-ba19-31157bb9a57b_SetDate">
    <vt:lpwstr>2026-03-25T00:03:10Z</vt:lpwstr>
  </property>
  <property fmtid="{D5CDD505-2E9C-101B-9397-08002B2CF9AE}" pid="4" name="MSIP_Label_8ae3a633-3d5f-462b-ba19-31157bb9a57b_Method">
    <vt:lpwstr>Standard</vt:lpwstr>
  </property>
  <property fmtid="{D5CDD505-2E9C-101B-9397-08002B2CF9AE}" pid="5" name="MSIP_Label_8ae3a633-3d5f-462b-ba19-31157bb9a57b_Name">
    <vt:lpwstr>Uso interno</vt:lpwstr>
  </property>
  <property fmtid="{D5CDD505-2E9C-101B-9397-08002B2CF9AE}" pid="6" name="MSIP_Label_8ae3a633-3d5f-462b-ba19-31157bb9a57b_SiteId">
    <vt:lpwstr>5448d52d-fbb8-4285-8d6f-aa67453bc50c</vt:lpwstr>
  </property>
  <property fmtid="{D5CDD505-2E9C-101B-9397-08002B2CF9AE}" pid="7" name="MSIP_Label_8ae3a633-3d5f-462b-ba19-31157bb9a57b_ActionId">
    <vt:lpwstr>9259008f-e69d-49ca-ba57-b161bc338833</vt:lpwstr>
  </property>
  <property fmtid="{D5CDD505-2E9C-101B-9397-08002B2CF9AE}" pid="8" name="MSIP_Label_8ae3a633-3d5f-462b-ba19-31157bb9a57b_ContentBits">
    <vt:lpwstr>0</vt:lpwstr>
  </property>
  <property fmtid="{D5CDD505-2E9C-101B-9397-08002B2CF9AE}" pid="9" name="MSIP_Label_8ae3a633-3d5f-462b-ba19-31157bb9a57b_Tag">
    <vt:lpwstr>10, 3, 0, 1</vt:lpwstr>
  </property>
  <property fmtid="{D5CDD505-2E9C-101B-9397-08002B2CF9AE}" pid="10" name="Pta_y_Equipo1" linkTarget="Prop_Pta_y_Equipo1">
    <vt:lpwstr>#REF!</vt:lpwstr>
  </property>
  <property fmtid="{D5CDD505-2E9C-101B-9397-08002B2CF9AE}" pid="11" name="Pta_y_Equipo2" linkTarget="Prop_Pta_y_Equipo2">
    <vt:lpwstr>#REF!</vt:lpwstr>
  </property>
  <property fmtid="{D5CDD505-2E9C-101B-9397-08002B2CF9AE}" pid="12" name="Pta_y_Equipo3" linkTarget="Prop_Pta_y_Equipo3">
    <vt:lpwstr>#REF!</vt:lpwstr>
  </property>
</Properties>
</file>